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ropbox\PENGURUSAN FASILITI\PINJAMAN JV\"/>
    </mc:Choice>
  </mc:AlternateContent>
  <xr:revisionPtr revIDLastSave="0" documentId="13_ncr:1_{5E7F0B7B-027D-4CED-AB7E-EB90AABA68B8}" xr6:coauthVersionLast="47" xr6:coauthVersionMax="47" xr10:uidLastSave="{00000000-0000-0000-0000-000000000000}"/>
  <bookViews>
    <workbookView xWindow="-110" yWindow="-110" windowWidth="25820" windowHeight="13900" activeTab="1" xr2:uid="{00000000-000D-0000-FFFF-FFFF00000000}"/>
  </bookViews>
  <sheets>
    <sheet name="SUMMARY JV " sheetId="3" r:id="rId1"/>
    <sheet name="SUMMARY JV  2 (TANAH)" sheetId="2" r:id="rId2"/>
    <sheet name="SUMMARY PINJAMAN INDIVIDU" sheetId="1" r:id="rId3"/>
    <sheet name="VERTEX &amp; VCI" sheetId="4" r:id="rId4"/>
    <sheet name="LEGASI SURIA" sheetId="5" r:id="rId5"/>
    <sheet name="NAZIRUL HANI" sheetId="6" r:id="rId6"/>
    <sheet name="EN.WAHID" sheetId="7" r:id="rId7"/>
    <sheet name="JV LAND FOR SALE " sheetId="8" r:id="rId8"/>
  </sheets>
  <definedNames>
    <definedName name="_xlnm._FilterDatabase" localSheetId="1" hidden="1">'SUMMARY JV  2 (TANAH)'!$A$2:$N$16</definedName>
    <definedName name="_xlnm.Print_Area" localSheetId="0">'SUMMARY JV '!$A$1:$M$15</definedName>
    <definedName name="_xlnm.Print_Area" localSheetId="1">'SUMMARY JV  2 (TANAH)'!$A$1:$M$18</definedName>
    <definedName name="_xlnm.Print_Area" localSheetId="2">'SUMMARY PINJAMAN INDIVIDU'!$A$1:$K$26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aYLQnkKlmlYZQkUcCI/Yk+R7ATy8ogjIwvZzCGw0hbY="/>
    </ext>
  </extLst>
</workbook>
</file>

<file path=xl/calcChain.xml><?xml version="1.0" encoding="utf-8"?>
<calcChain xmlns="http://schemas.openxmlformats.org/spreadsheetml/2006/main">
  <c r="G24" i="1" l="1"/>
  <c r="G23" i="1"/>
  <c r="G22" i="1"/>
  <c r="I6" i="3"/>
  <c r="G20" i="1" l="1"/>
  <c r="G16" i="1"/>
  <c r="G14" i="1"/>
  <c r="G12" i="1"/>
  <c r="G11" i="1"/>
  <c r="G10" i="1"/>
  <c r="G7" i="1"/>
  <c r="G8" i="1"/>
  <c r="G6" i="1"/>
  <c r="G19" i="1"/>
  <c r="H17" i="2"/>
  <c r="I11" i="3"/>
  <c r="I15" i="3" l="1"/>
  <c r="I14" i="3"/>
  <c r="I13" i="3"/>
  <c r="I12" i="3"/>
  <c r="I8" i="3"/>
  <c r="I7" i="3"/>
  <c r="H16" i="2"/>
  <c r="G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tc={D3C3B050-0833-4635-8F7B-3E7B62544078}</author>
    <author/>
    <author>tc={56FD7E31-8135-4F93-B904-3831523D497B}</author>
    <author>tc={168ECE3E-5882-46D5-B092-B1F955634AED}</author>
    <author>tc={A041016D-6A6E-46F2-BDBA-A1B8BADEBD2E}</author>
    <author>tc={19925FBB-F192-419B-A41E-043B16E1532C}</author>
    <author>tc={D0F9DECC-137E-431F-9C79-2741E0CCF9FF}</author>
  </authors>
  <commentList>
    <comment ref="M6" authorId="0" shapeId="0" xr:uid="{D3C3B050-0833-4635-8F7B-3E7B62544078}">
      <text>
        <t>[Threaded comment]
Your version of Excel allows you to read this threaded comment; however, any edits to it will get removed if the file is opened in a newer version of Excel. Learn more: https://go.microsoft.com/fwlink/?linkid=870924
Comment:
    17.07.2025 - 10 PAGI
- En. Azrul setuju tuntut 300k sahaja
- En. Hafiz maklum bagi masa 14 hari untuk tunggu maklum balas dari pihak en.ali 
- 1/8 akan terus isukan tuntutan ke court
- Akan tarik balik kes jika selesai bayar
- anggaran jangkaan proses 3-6 bulan (januari 2026)
Reply:
    12.11.2025 - 3:30 PTG 
-	En.hafiz advice tidak perlu perbincangan lanjut diantara en.hafiz roslan &amp; en.ali vertex
-	30/11/25, En hafiz akan submit writ JID (Judgement In default) di Mahkamah Seksyen Kota Baru - mengikut alamat en. Ali
Reply:
    24.02.2026
dokumen dah dapat, full draf tuntutan dah siap. lawyer request copy cek yg kita bayar kepada Vertex dahulu. Cek yg berjumlah RM300,000.00. 
Lawyer nak dapatkan bayaran open file untuk kes tuntutan</t>
      </text>
    </comment>
    <comment ref="H7" authorId="1" shapeId="0" xr:uid="{00000000-0006-0000-0200-000002000000}">
      <text>
        <r>
          <rPr>
            <sz val="11"/>
            <color theme="1"/>
            <rFont val="Calibri"/>
            <family val="2"/>
            <scheme val="minor"/>
          </rPr>
          <t>======
ID#AAAA3Rgr84k
User    (2023-08-20 04:37:52)
BAYARAN PINDAH MILIK TANAH</t>
        </r>
      </text>
    </comment>
    <comment ref="G8" authorId="1" shapeId="0" xr:uid="{00000000-0006-0000-0200-000001000000}">
      <text>
        <r>
          <rPr>
            <sz val="11"/>
            <color theme="1"/>
            <rFont val="Calibri"/>
            <family val="2"/>
            <scheme val="minor"/>
          </rPr>
          <t>======
ID#AAAA3Rgr84o
User    (2023-08-20 04:37:52)
KIRAAN CAJ LEWAT BERMULA 02.05.2019 SEHINGGA 02.05.2020</t>
        </r>
      </text>
    </comment>
    <comment ref="H8" authorId="1" shapeId="0" xr:uid="{00000000-0006-0000-0200-000003000000}">
      <text>
        <r>
          <rPr>
            <sz val="11"/>
            <color theme="1"/>
            <rFont val="Calibri"/>
            <family val="2"/>
            <scheme val="minor"/>
          </rPr>
          <t>======
ID#AAAA3Rgr84g
User    (2023-08-20 04:37:52)
TAMBAHAN PINJAMAN MODAL</t>
        </r>
      </text>
    </comment>
    <comment ref="M8" authorId="2" shapeId="0" xr:uid="{56FD7E31-8135-4F93-B904-3831523D497B}">
      <text>
        <t>[Threaded comment]
Your version of Excel allows you to read this threaded comment; however, any edits to it will get removed if the file is opened in a newer version of Excel. Learn more: https://go.microsoft.com/fwlink/?linkid=870924
Comment:
    17.07.2025 - 1O PAGI
- Gantian hartanah baru ; tanah pulau sekati (7ekar) - take over bahagian penama tanah Azizah &amp; Zulkifli (1.5ekar dengan nilaian 3 juta lebih)
- Penama azizah dah meninggal dan adik arwah akan tukarkan nama &amp; serah tanah tersebut selepas selesai proses faraid (6 bulan - jan 2026)
- Tunggakan dividen 7 bulan - rm437,500 (62,500/month)
Reply:
    12.11.2025 - 3:30 PTG
-	Tunggu Borang A diproses
-	Tunggu panggilan daripada Jawatankuasa Pusaka Kecil 
-F/up update Jan 2026 untuk tahu status sudah dipanggil @ belum
Reply:
    24.02.2026
belum dipanggil lagi dan dokumen semua telah di buat submission. Dimaklumkan sedang queue.</t>
      </text>
    </comment>
    <comment ref="G10" authorId="1" shapeId="0" xr:uid="{00000000-0006-0000-0200-000004000000}">
      <text>
        <r>
          <rPr>
            <sz val="11"/>
            <color theme="1"/>
            <rFont val="Calibri"/>
            <family val="2"/>
            <scheme val="minor"/>
          </rPr>
          <t>======
ID#AAAA3Rgr84Y
User    (2023-08-20 04:37:52)
KIRAAN CAJ LEWAT BERMULA 02.05.2019 - 02.05.2020</t>
        </r>
      </text>
    </comment>
    <comment ref="M11" authorId="3" shapeId="0" xr:uid="{168ECE3E-5882-46D5-B092-B1F955634AED}">
      <text>
        <t>[Threaded comment]
Your version of Excel allows you to read this threaded comment; however, any edits to it will get removed if the file is opened in a newer version of Excel. Learn more: https://go.microsoft.com/fwlink/?linkid=870924
Comment:
    27.09.2023 
-ROMBAK RAM RUMAH
-MINTAK BAYAR DULU 50K, EN HAFIZ TRY TOLONG DISBURSE TANPA CF
-AKAN UPDATE 2/3.10.2023
31.10.2023
-PAYMENT CLIENT NEXT WEEK
-MINGGU KEDUA NOVEMBER INSYALLAH SELESAI CF. THEN, ADVISE UTK DISBURSE
19.11.2023
-ISU CF SELESAI, MENUNGGU SIJIL CF KELUAR UTK PROSES DISBURSEMENT DUIT
-JV AKAN BUAT BAYARAN KOMITMEN 20K PADA (20-23/11/23)
Reply:
    17.07.2025 - 10 PAGI
- cagaran rumah semi D (paloh) 
- peminjam ada masalah dengan pihak bank
- Alternatif lain bagi cagaran, 5 keping tanah nilaian rm100k setiap 1 lot tanah (5lot x 100k = 500k) 
- En. Hafiz minta bagi masa 1 minggu untuk buat penilaian semula harga tanah supaya memudahkan en.azrul jual semula tanah berkenaan
- Jumlah tunggakan dividen (rm150,120) &amp; caj lewat (rm200,219.41) cut off sehingga 30/1/2024 
- total termasuk modal rm 850,339
Reply:
    17.07.2025 - 3:30 PTG
-rumah cagaran awal2 tak dapat diambil kira kerana rumah tersebut tak dapat CF 
-	 alternatif lain ditawarkan 5 keping lot tanah (anggaran 100k/lot x 5 lot) @ Ambil 5 lot tanah + cash
-lokasi tanah (lot banglo) di area kampung tok geduk ajil, berdekatan smk ahil, masjid, kubur, perodua ajil &amp; tanah KDYMM Sultan Trg
-Akan dibincangkan dengan En. Azrul terlebih dahulu</t>
      </text>
    </comment>
    <comment ref="M12" authorId="4" shapeId="0" xr:uid="{A041016D-6A6E-46F2-BDBA-A1B8BADEBD2E}">
      <text>
        <t>[Threaded comment]
Your version of Excel allows you to read this threaded comment; however, any edits to it will get removed if the file is opened in a newer version of Excel. Learn more: https://go.microsoft.com/fwlink/?linkid=870924
Comment:
24.08.2023 - RM4,600
05.09.2023 - RM1,200
05.10.2023 - RM1,200
06.11.2023 - RM1,200
Reply:
    06.12.2023 - RM1,200
Reply:
    Kiraan caj lewat cut off sehingga 30/1/2024
Reply:
    17.07.2025 - 10 PAGI 
Pending perjanjian baru bermula bulan januari 2025
Reply:
    17.11.2025 - 3:30 PTG
-	En hafiz advice untuk tidak membuat agreement baru supaya senang proses jika nak gunakan tanah bila-bila masa
-	Sambung sewa guna surat lanjutan sewa sahaja
-	F/up surat lanjutan sewa pada 18/12/2025</t>
      </text>
    </comment>
    <comment ref="M13" authorId="5" shapeId="0" xr:uid="{19925FBB-F192-419B-A41E-043B16E1532C}">
      <text>
        <t>[Threaded comment]
Your version of Excel allows you to read this threaded comment; however, any edits to it will get removed if the file is opened in a newer version of Excel. Learn more: https://go.microsoft.com/fwlink/?linkid=870924
Comment:
    19.11.2023
-LAWYER ADA JUMPA DGN JV 14.11.2023 UTK NK BUAT PENYELESAIAN SEPARUH (ATAS SALAH 1 ASET RUMAH)
-MINTA BUAT KIRAAN CAJ LEWAT CUT OFF 31.12.2023 UTK KESELURUHAN CAJ LEWAT BERMULA JUN 2023
Reply:
    17.07.2025 - 10 PAGI
- En. Azrul akan atur orang visit tempat berkenaan &amp; update lokasi kepada en.hafiz
- En.hafiz akan visit tempat berkenaan selepas dapat location untuk ambil gambar dan propose untuk tindakan selanjutnya samada jual atau bagi ruang untuk bayaran balik
- Cagaran - rumah teres 1 tingkat 2 unit di kemasik
- Tunggakan dividen (rm59,584 - 11 bulan) dan caj lewat (11,449.28) cut off sehingga 31.12.23 
- total termasuk modal rm321,033.28
Reply:
    12.11.2025 - 3:30 PTG
-	Bahagian aset en. Azrul dah fully secured
-	 En. Hafiz survey harga Jualan rumah disekitar taman aset cagaran adalah RM300k
-	Boleh iklankan untuk jualan &amp; serah maklumat pembeli kepada en.hafiz atau ;
-	Bincang dengan introducer jika masih ada ruang dan kemampuan peminjam untuk buat bayaran tanpa cairkan aset cagaran</t>
      </text>
    </comment>
    <comment ref="M14" authorId="6" shapeId="0" xr:uid="{D0F9DECC-137E-431F-9C79-2741E0CCF9FF}">
      <text>
        <t>[Threaded comment]
Your version of Excel allows you to read this threaded comment; however, any edits to it will get removed if the file is opened in a newer version of Excel. Learn more: https://go.microsoft.com/fwlink/?linkid=870924
Comment:
    19.11.2023
-LAWYER ADA F/UP 16.11.2023 &amp; JV AKAN BUAT BAYARAN PADA (20-23/11/23)
Reply:
    17.07.2025  - 10 PAGI
- Pending CCC rumah (stand meter SATU belum dipasang). Bank tak dapat disburse selagi CCC tak dapat 
- Cagaran RM300K - 3 buah rumah semi D di area mukim kuala nerus (airport/area rumah abang jamil)
- Cagaran RM700K - tanah bangunan lot kedai KT bypass bukit bayas/lot tanah jalan semarak/rumah semi D 1 buah mukim kuala nerus (area airport/area rumah abang jamil)
- Tunggakan dividen 700k - rm106,166.65 (7 bulan)
- tunggakan dividen 300k - 45,500 (7 bulan)
- Jumlah caj lewat akan update semula
- Total (tanpa caj lewat) rm 1,151,655.65
Reply:
    12.11.2025 - 3:30 PTG 
-	300K 
- rumah dah siap, pembeli dah ada, lawyer serah post dated cek tarikh 15/1/2026 berjumlah rm 377,959.04
- by 31/12/25, duit perlu ada dalam account peminjam
- En. Hafiz akan bagi instruction bila dah boleh bank in cek tersebut
-	700K
- proceed tukar tanah lot kedai KT bypass bukit bayas, lot tanah jalan semarak &amp; sebuah semi D ke atas nama MD
- En hafiz akan update pada hujung bulan 11/2025 untuk arrangement date signing
- 15/12/2025, ke pejabat tanah untuk signing borang 14A &amp; prepare kos untuk pertukaran nama
- Total nilaian aset cagaran lebih kurang 1 juta
Reply:
    25.02.2025 - 
300K. 
received cheque date 15/1/2026 377,959.04.. 300k modal + 77959.04 caj lewat bayar
SELESAI
700K. 
Proceed lock cagaran
Reply:
    24.02.2026
700K - untuk penyelesaian 14A ni, sy dah arrange. InsyaAllah end of March kita boleh proceed ikut file. Sy dah lock semua, Puan.
300K, 26.02.2026 = cheque return, akan feedback 03.03.2026</t>
      </text>
    </comment>
  </commentList>
  <extLst>
    <ext xmlns:r="http://schemas.openxmlformats.org/officeDocument/2006/relationships" uri="GoogleSheetsCustomDataVersion2">
      <go:sheetsCustomData xmlns:go="http://customooxmlschemas.google.com/" r:id="rId1" roundtripDataSignature="AMtx7mhzToSCZgtvPGF2fh6JAwUQ8PWhr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tc={826EF933-9B12-4456-9B92-1C4327A533C2}</author>
    <author>tc={5B3E49DE-BDA5-4BF6-A92C-F122943556A8}</author>
  </authors>
  <commentList>
    <comment ref="G7" authorId="0" shapeId="0" xr:uid="{00000000-0006-0000-0100-000001000000}">
      <text>
        <r>
          <rPr>
            <sz val="11"/>
            <color theme="1"/>
            <rFont val="Calibri"/>
            <family val="2"/>
            <scheme val="minor"/>
          </rPr>
          <t>======
ID#AAAA3Rgr84s
User    (2023-08-20 04:37:52)
BAYARAN PINDAH MILIK TANAH</t>
        </r>
      </text>
    </comment>
    <comment ref="G8" authorId="0" shapeId="0" xr:uid="{00000000-0006-0000-0100-000002000000}">
      <text>
        <r>
          <rPr>
            <sz val="11"/>
            <color theme="1"/>
            <rFont val="Calibri"/>
            <family val="2"/>
            <scheme val="minor"/>
          </rPr>
          <t>======
ID#AAAA3Rgr84c
User    (2023-08-20 04:37:52)
TAMBAHAN PINJAMAN MODAL</t>
        </r>
      </text>
    </comment>
    <comment ref="I10" authorId="1" shapeId="0" xr:uid="{826EF933-9B12-4456-9B92-1C4327A533C2}">
      <text>
        <t>[Threaded comment]
Your version of Excel allows you to read this threaded comment; however, any edits to it will get removed if the file is opened in a newer version of Excel. Learn more: https://go.microsoft.com/fwlink/?linkid=870924
Comment:
    Notis supaya mengambil suratan hakmilik yang dikeluarkan</t>
      </text>
    </comment>
    <comment ref="M15" authorId="2" shapeId="0" xr:uid="{5B3E49DE-BDA5-4BF6-A92C-F122943556A8}">
      <text>
        <t>[Threaded comment]
Your version of Excel allows you to read this threaded comment; however, any edits to it will get removed if the file is opened in a newer version of Excel. Learn more: https://go.microsoft.com/fwlink/?linkid=870924
Comment:
    03.08.2025 - PAYMENT JUALAN RUMAH RECEIVED 340K UNTUK SEBUAH RUMAH. MD BENARAN EN FIRDAUS GUNA DAHULU SEMENTARA PAYMENT LAIN MASUK</t>
      </text>
    </comment>
  </commentList>
  <extLst>
    <ext xmlns:r="http://schemas.openxmlformats.org/officeDocument/2006/relationships" uri="GoogleSheetsCustomDataVersion2">
      <go:sheetsCustomData xmlns:go="http://customooxmlschemas.google.com/" r:id="rId1" roundtripDataSignature="AMtx7mhS/kgfVMLyc4n2zW8zgEyZ3GEksA=="/>
    </ext>
  </extLst>
</comments>
</file>

<file path=xl/sharedStrings.xml><?xml version="1.0" encoding="utf-8"?>
<sst xmlns="http://schemas.openxmlformats.org/spreadsheetml/2006/main" count="487" uniqueCount="221">
  <si>
    <t>SUMMARY JV 3</t>
  </si>
  <si>
    <t xml:space="preserve">BIL. </t>
  </si>
  <si>
    <t>MAKLUMAT CAGARAN</t>
  </si>
  <si>
    <t>CATATAN</t>
  </si>
  <si>
    <t>NAMA PEMINJAM</t>
  </si>
  <si>
    <t>BAYARAN TAMBAHAN (RM) (B)</t>
  </si>
  <si>
    <t xml:space="preserve">JUMLAH TUNGGAKAN (RM) (C)
(A+ B = C) </t>
  </si>
  <si>
    <t>JENIS/LOKASI</t>
  </si>
  <si>
    <t xml:space="preserve"> PENAMA ASET </t>
  </si>
  <si>
    <t>STATUS PINDAHMILIK/JUALAN ASET</t>
  </si>
  <si>
    <t>MOHD AZRUL
BIN ZAKARIA</t>
  </si>
  <si>
    <t>AL-ARIF</t>
  </si>
  <si>
    <t>PETI CASH HR</t>
  </si>
  <si>
    <t>EN. NASYUHA</t>
  </si>
  <si>
    <t>GOLDEN IZZ ENTEPRISE</t>
  </si>
  <si>
    <t>AMY (NURSE)</t>
  </si>
  <si>
    <t>MOHD ALIZAM BIN ALI</t>
  </si>
  <si>
    <t>GM 9511 LOT 14101 MUKIM BUKIT PAYUNG
TERENGGANU</t>
  </si>
  <si>
    <t>FARAH NIZAH BINTI JAPILOS</t>
  </si>
  <si>
    <t>SELESAI
CAGARAN RM300,000
160,000 - Pinjaman
49,065.91 - Baki hutang LPPSA
82,170.27 - Baki-baki lain</t>
  </si>
  <si>
    <t>DATOK
RAHIM HASSAN</t>
  </si>
  <si>
    <t>RAZIA GLOBAL
RESOURCES</t>
  </si>
  <si>
    <t>MOHD IRFAN
BIN CHE MAT</t>
  </si>
  <si>
    <t>MOHD AZRUL 
BIN ZAKARIA</t>
  </si>
  <si>
    <t>SITI HAILA BINTI SHARIF</t>
  </si>
  <si>
    <t>MOKTAR BIN SIRON 
(NABILA)</t>
  </si>
  <si>
    <t>SELESAI</t>
  </si>
  <si>
    <t>CASH PETI BESI MD</t>
  </si>
  <si>
    <t>ISMAIL TAWANG</t>
  </si>
  <si>
    <t>36856 LOT 231 MUKIM 
PEKAN SUNGAI UDANG 
SEK. 11 MELAKA
DAN
H.S.(M) 4660 PT 5483 
MUKIM HULU LANGAT 
SELANGOR</t>
  </si>
  <si>
    <t>GOLDEN IZZ ENTERPISE</t>
  </si>
  <si>
    <t>USTAZ SOFHI</t>
  </si>
  <si>
    <t>PINJAMAN PERIBADI 5,000
PINJAMAN PERNIAGAAN 45,000</t>
  </si>
  <si>
    <t>NELANG SECURITY
SDN BHD</t>
  </si>
  <si>
    <t>USTAZ ZAK</t>
  </si>
  <si>
    <t>RINES MOTORSPORT 
S/B</t>
  </si>
  <si>
    <t>50,000 - RINES MOTORSPORT
50,000 - PERSONAL</t>
  </si>
  <si>
    <t>HAFIZ SHELL
(MEGAHJAYA OTOMOBIL 
SDN BHD)</t>
  </si>
  <si>
    <t>AFRA SERVICES
SDN BHD</t>
  </si>
  <si>
    <t>EXPOAM SECURITY
SDN BHD</t>
  </si>
  <si>
    <t>MOHD AZRUL
BIN ZAKARIA (CIMB)</t>
  </si>
  <si>
    <t>ALIZAM DS</t>
  </si>
  <si>
    <t>GM 9511 LOT 14101 
MUKIM BUKIT PAYUNG
TERENGGANJU</t>
  </si>
  <si>
    <t>JIKA RUMAH DIJUAL DALAM MASA 
1 TAHUN, 20% HARGA JUALAN 
(SELEPAS HUTANG) AKAN DISERAHKAN 
PADA MD
KEGAGALAN AKAN MENYEBABKAN 
RUMAH ZAM MENJADI 
HAK MILIK PN FARAH</t>
  </si>
  <si>
    <t>SUMMARY JV 2</t>
  </si>
  <si>
    <t>MAKLUMAT TUNGGAKAN &amp; BAYARAN</t>
  </si>
  <si>
    <t>MAKLUMAT HARTANAH</t>
  </si>
  <si>
    <t>HARGA JUALAN/
JENIS</t>
  </si>
  <si>
    <t>NAMA KONTRAKTOR</t>
  </si>
  <si>
    <t>PERKONGSIAN KEUNTUNGAN (RM) 
(B)</t>
  </si>
  <si>
    <t>BAYARAN TAMBAHAN (RM) (D)</t>
  </si>
  <si>
    <t>MF PROPERTIES</t>
  </si>
  <si>
    <t>GM 1837 LOT 1979
MUKIM TUK JAMAL</t>
  </si>
  <si>
    <t>NUR AFIFA DAYANA
BINTI HASBULAH</t>
  </si>
  <si>
    <t>CASH MD
(PETI BESI)</t>
  </si>
  <si>
    <r>
      <rPr>
        <sz val="22"/>
        <color theme="1"/>
        <rFont val="Calibri"/>
        <family val="2"/>
      </rPr>
      <t xml:space="preserve">TANAH MOK KEMAS
TANAH LOT
1) PT 20392
2) PT 20393
</t>
    </r>
    <r>
      <rPr>
        <b/>
        <sz val="22"/>
        <color theme="1"/>
        <rFont val="Calibri"/>
        <family val="2"/>
      </rPr>
      <t>GERAN</t>
    </r>
    <r>
      <rPr>
        <sz val="22"/>
        <color theme="1"/>
        <rFont val="Calibri"/>
        <family val="2"/>
      </rPr>
      <t xml:space="preserve">
LOT 56820
PECAH LOT: PT 24405
PECAH LOT: PT 24406
LOT 56821
PECAH LOT: PT 24431
PECAH LOT: PT 24430</t>
    </r>
    <r>
      <rPr>
        <b/>
        <sz val="22"/>
        <color theme="1"/>
        <rFont val="Calibri"/>
        <family val="2"/>
      </rPr>
      <t xml:space="preserve">
</t>
    </r>
  </si>
  <si>
    <t>CASH MD</t>
  </si>
  <si>
    <t>TANAH PENGADANG BARU
LOT 60035
LOT 60036
LOT 60037</t>
  </si>
  <si>
    <r>
      <rPr>
        <sz val="22"/>
        <color theme="1"/>
        <rFont val="Calibri"/>
        <family val="2"/>
      </rPr>
      <t xml:space="preserve">30% ON INVESTMENT
</t>
    </r>
    <r>
      <rPr>
        <b/>
        <sz val="22"/>
        <color theme="1"/>
        <rFont val="Calibri"/>
        <family val="2"/>
      </rPr>
      <t>SELESAI</t>
    </r>
  </si>
  <si>
    <t>265,OO0</t>
  </si>
  <si>
    <t>TANAH ALUR LIMBAT
(TANAH SAWIT)
LOT 4314</t>
  </si>
  <si>
    <t>MOHD FIRDAUS BIN ABD RAHMAN</t>
  </si>
  <si>
    <t>SHARE
70:30
JUAL TANAH
TANAH DALAM PROSES PECAH LOT</t>
  </si>
  <si>
    <t>MF PROPERTIES/ IZRIN NAIM ASSOCIATES</t>
  </si>
  <si>
    <t>MOHD AZRUL BIN ZAKARIA
MUHAMMAD AZHAN BIN ZAKARIA</t>
  </si>
  <si>
    <t xml:space="preserve">CASH MD
(PETI BESI) </t>
  </si>
  <si>
    <t>MUAZ SERVICES
SDN BHD</t>
  </si>
  <si>
    <t>MUKIM ALUR LIMBAT
GM 3905 LOT 696</t>
  </si>
  <si>
    <t>MUAZ MAJU SDN BHD</t>
  </si>
  <si>
    <t>BUKIT PAYONG
1) LOT 21151
2) LOT 21152</t>
  </si>
  <si>
    <t>TMN SAFIAH MURNI
1) PT 22106
2) PT 22107
3) PT 22108
4) PT 22109</t>
  </si>
  <si>
    <t>KUSUMAWATI @ 
NURUL HUDA BINTI ABDULLAH</t>
  </si>
  <si>
    <t>TANAH TAK AKAN TUKAR NAMA DULU, BUAT RUMAH DULU DAN JUAL BARU TUKAR NAMA DARIPADA PEMILIK TANAH KEPADA PEMBELI</t>
  </si>
  <si>
    <t>SUMMARY JV 1</t>
  </si>
  <si>
    <t>MAKLUMAT CAGARAN ASET</t>
  </si>
  <si>
    <t xml:space="preserve">PERKONGSIAN DIVIDEN KEUNTUNGAN (RM) </t>
  </si>
  <si>
    <t>TUNGGAKAN DIVIDEN (RM) (B)</t>
  </si>
  <si>
    <t>CAJ LEWAT (RM) (C)</t>
  </si>
  <si>
    <t xml:space="preserve">JUMLAH TUNGGAKAN (RM) (E)
(A+ B + C+ D=E) </t>
  </si>
  <si>
    <t>JENIS/LOKASI/NILAIAN ASET CAGARAN</t>
  </si>
  <si>
    <t>MUAZ FORCE SDN BHD (5117)</t>
  </si>
  <si>
    <t>VERTEX CENTRAL INDUSTRIES SDN BHD</t>
  </si>
  <si>
    <t xml:space="preserve">
AZRIN - 3,375/BULAN
HAFIZ - 500/BULAN
AZHAN - 2,875/BULAN
81,000/12 BULAN</t>
  </si>
  <si>
    <t>TIADA</t>
  </si>
  <si>
    <t>T/B</t>
  </si>
  <si>
    <t>MOHD AZRUL BIN DATO' SERI HJ ZAKARIA 
- PBB STARPARC</t>
  </si>
  <si>
    <t>VCI IBS SDN BHD</t>
  </si>
  <si>
    <t>10,000/BULAN
120,000/12 BULAN</t>
  </si>
  <si>
    <t>TANAH N9
- NILAIAN 1.5 JUTA</t>
  </si>
  <si>
    <t xml:space="preserve"> MOHD AZRUL BIN DATO' SERI HJ ZAKARIA</t>
  </si>
  <si>
    <t>TELAH DIJUAL KEPADA PEMBELI EN.MASRUN &amp; MENERIMA BAYARAN RM665,000 8/6/2023</t>
  </si>
  <si>
    <t>SELESAI - CLEAR DALAM B/S PBB CURRENT TRG 19/6/2023</t>
  </si>
  <si>
    <t>NELANG SECURITY 
SDN BHD</t>
  </si>
  <si>
    <t>LEGASI SURIA SEMPURNA SDN BHD</t>
  </si>
  <si>
    <t>600,000</t>
  </si>
  <si>
    <t>35000/BULAN
420,000/12 BULAN</t>
  </si>
  <si>
    <t>TANAH BUKIT PAYONG 
- NILAIAN 4 JUTA</t>
  </si>
  <si>
    <t>- AFHAM BIN EZANI
- AFIQ BIN EZANI
- ALIF BIN EZANI 
- EZANI BIN SALLEH
- MD. ZAWAWI BIN SHAMROZ @ SHAMROR
- MOHD ZARIN BIN SHAMROR
- NORAINI BIN SHAMROR
- NORMAWATI BT. SHAMROR</t>
  </si>
  <si>
    <t>FIRST ALLIED SECURITY SERVICES SDN BHD</t>
  </si>
  <si>
    <t>15,000/BULAN
180,000/12 BULAN</t>
  </si>
  <si>
    <t>8,340/BULAN
100,080/12 BULAN</t>
  </si>
  <si>
    <t>RUMAH SEMI D (PALUH)
- NILAIAN 820,000</t>
  </si>
  <si>
    <t>LEGASI SURIA SEMPURNA SDN BHD WAHID</t>
  </si>
  <si>
    <t>BULAN 1-6 RM10,000/BULAN
BULAN 7
RM70,000 LUMP SUM
130,000/12 BULAN</t>
  </si>
  <si>
    <t>TANAH 
(8 LOT KECIL &amp; 1 LOT BESAR
- NILAIAN 1.5 JUTA</t>
  </si>
  <si>
    <t>PBB STARPARC MD (PERSONAL)</t>
  </si>
  <si>
    <t>NAZIRUL HANI</t>
  </si>
  <si>
    <t>5416.67/BULAN
65,000/12 BULAN</t>
  </si>
  <si>
    <t>MOHD AZRUL BIN DATO' SERI HJ ZAKARIA</t>
  </si>
  <si>
    <t>TELAH DIPINDAH MILIK KEATAS NAMA EN.AZRUL</t>
  </si>
  <si>
    <t>15,166.67/BULAN
182,000/12 BULAN</t>
  </si>
  <si>
    <t>1. TANAH BANGUNAN LOT KEDAI KT BYPASS BUKIT BAYAS
2. LOT TANAH JALAN SEMARAK
3. RUMAH SEMI D (1 BUAH)
- NILAIAN 2 JUTA</t>
  </si>
  <si>
    <t>6,500/BULAN
78,000/12 BULAN</t>
  </si>
  <si>
    <t>RUMAH SEMI D (3 BUAH)
- NILAIAN 1 JUTA</t>
  </si>
  <si>
    <t>TANAH MD (JV)</t>
  </si>
  <si>
    <t>TARIKH KEMASKINI : 04.07.2023</t>
  </si>
  <si>
    <t>TAJUK</t>
  </si>
  <si>
    <t>LUAS (per metre square)</t>
  </si>
  <si>
    <t>ANGGARAN NILAIAN (RM)</t>
  </si>
  <si>
    <t xml:space="preserve">NEGERI </t>
  </si>
  <si>
    <t xml:space="preserve">DAERAH </t>
  </si>
  <si>
    <t>BANDAR / PEKAN / MUKIM</t>
  </si>
  <si>
    <t xml:space="preserve">TEMPAT </t>
  </si>
  <si>
    <t xml:space="preserve">NO. LOT </t>
  </si>
  <si>
    <t xml:space="preserve">DAFTAR  PADA </t>
  </si>
  <si>
    <t xml:space="preserve">NO. HAK MILIK </t>
  </si>
  <si>
    <t>TERENGGANU</t>
  </si>
  <si>
    <t>HULU TERENGGANU</t>
  </si>
  <si>
    <t>MUKIM TANGGUL</t>
  </si>
  <si>
    <t>BUKIT TOK SETOL</t>
  </si>
  <si>
    <t>LOT 65127</t>
  </si>
  <si>
    <t>1.5 JUTA</t>
  </si>
  <si>
    <t>JV EN. WAHID (RM650K)</t>
  </si>
  <si>
    <t>LOT 65128</t>
  </si>
  <si>
    <t>LOT 65129</t>
  </si>
  <si>
    <t>LOT 65130</t>
  </si>
  <si>
    <t>LOT 65131</t>
  </si>
  <si>
    <t>LOT 65132</t>
  </si>
  <si>
    <t>LOT 65133</t>
  </si>
  <si>
    <t>LOT 65134</t>
  </si>
  <si>
    <t>LOT 63283</t>
  </si>
  <si>
    <t>MARANG</t>
  </si>
  <si>
    <t>MUKIM BUKIT PAYUNG</t>
  </si>
  <si>
    <t>BUKIT PAYUNG</t>
  </si>
  <si>
    <t>LOT 5254</t>
  </si>
  <si>
    <t>4 JUTA</t>
  </si>
  <si>
    <t xml:space="preserve">JV3 2.5JUTA. BELUM DITUKARKAN KE NAMA EN. AZRUL. SALAH SEORANG PENAMA MENINGGAL </t>
  </si>
  <si>
    <t>Copy sahaja</t>
  </si>
  <si>
    <t>Geran xada, dokumen sahaja</t>
  </si>
  <si>
    <t>BARU</t>
  </si>
  <si>
    <t>PIHAK PERTAMA (70) : PIHAK KEDUA (30)
NILAI TANAH SIAP : 150,000
KOS SUB UPAH &amp; SUPPLIER: 200,000
ADVANCE : 50,000 (SUB UPAH &amp; SUPPLIER)
BALANCE: 150,000 (REIMBURSED)
TEMPOH PERJANJIAN: 1 TAHUN (1/6/2023 - 31/5/2024)</t>
  </si>
  <si>
    <t>11.12.2023 - RM550</t>
  </si>
  <si>
    <t>MEI 23 &amp; JUN 23 - BAYAR
SETERUSNYA - TIDAK BAYAR
REQUEST MUKA SURAT BELAKANG (GERAN)
TAMAT PERJANJIAN PADA 20.04.2024</t>
  </si>
  <si>
    <t>PEMBIAYA MODAL</t>
  </si>
  <si>
    <t>MAKLUMAT PEMBIAYAAN MODAL</t>
  </si>
  <si>
    <t>NEGERI SEMBILAN</t>
  </si>
  <si>
    <t>JUMLAH PEMBIAYAAN MODAL (RM) (A)</t>
  </si>
  <si>
    <t>2018
22/07/2021 - SELESAI
HIGHLIGHT BANK STATEMENT</t>
  </si>
  <si>
    <t>TIADA RESPON DARI ANAK CIKGU MD</t>
  </si>
  <si>
    <t>TIADA RESPON DARI EX NURSE DS AZIAH</t>
  </si>
  <si>
    <t>TIADA UPDATE DARI MD</t>
  </si>
  <si>
    <t>TIADA UPDATE DARI EX CIKGU MD (AYAH SYAHIRAH ADMIN EX STAF)</t>
  </si>
  <si>
    <t>ADA PEMBAYARAN RM500 KE AKAUN NELANG BEBERAPA KALI SAHAJA</t>
  </si>
  <si>
    <t>CEK BULAN 11 - BAL 2K
CEK BULAN 1 - 10,500
CEK BULAN 2 - 10,500
CEK BULAN 3 - 10,500</t>
  </si>
  <si>
    <t>PENAMA : FARAH NIZAH BINTI JAPILOS</t>
  </si>
  <si>
    <t>SELESAI KEPADA PEMBELI</t>
  </si>
  <si>
    <t>PENAMA : MOHD FIRDAUS BIN ABD RAHMAN</t>
  </si>
  <si>
    <t>JUMLAH KASAR TUNGGAKAN PEMBIAYAAN MODAL</t>
  </si>
  <si>
    <t>2 UNIT RUMAH KEDIAMAN
BERKEMBAR (SEMI-D) 1 TINGKAT</t>
  </si>
  <si>
    <t>TANAH MUKIM KUALA NERUS
GM 8303 LOT 4678
3.5 EKAR 
(0.549 HEKTAR - MOHD AZRUL)
(0.512 HEKTAR - MOHD AZHAN)</t>
  </si>
  <si>
    <t>SHARE 70 : 30
HARGA BELIAN TANAH : RM 1.5J
TANAH DALAM PROSES PECAH LOT</t>
  </si>
  <si>
    <t xml:space="preserve">40,000 - 50,000
</t>
  </si>
  <si>
    <t xml:space="preserve">CASH MD 
(PETI BESI) </t>
  </si>
  <si>
    <t>MUAZ SERVICES
SDN BHD (8605419232)</t>
  </si>
  <si>
    <t>MUAZ MAJU ENTERPRISE 
(PBB 3980140223)</t>
  </si>
  <si>
    <t>MUAZ MAJU
SDN BHD 
(PBB 3985050818)</t>
  </si>
  <si>
    <t>MUAZ FORCE
SDN BHD 
(PBB 3986475117)</t>
  </si>
  <si>
    <t>MUAZ MAJU SDN BHD (PBB 3985050818)</t>
  </si>
  <si>
    <t>400,000
- BUNGALOW</t>
  </si>
  <si>
    <r>
      <rPr>
        <b/>
        <sz val="22"/>
        <color theme="1"/>
        <rFont val="Calibri"/>
        <family val="2"/>
      </rPr>
      <t>SELESAI 17/9/2024</t>
    </r>
    <r>
      <rPr>
        <sz val="22"/>
        <color theme="1"/>
        <rFont val="Calibri"/>
        <family val="2"/>
      </rPr>
      <t xml:space="preserve">
PEMBIAYAAN : 176K
PROFIT SHARING : 70K
TOTAL : 246K
MINUS : 6K (SEDEKAH MASJID)
MD TERIMA : 240K CASH</t>
    </r>
  </si>
  <si>
    <r>
      <t>PROFIT: 40% ON GROSS OF SALE</t>
    </r>
    <r>
      <rPr>
        <b/>
        <sz val="22"/>
        <color theme="1"/>
        <rFont val="Calibri"/>
        <family val="2"/>
      </rPr>
      <t xml:space="preserve">
SELESAI AWAL NOVEMBER 2020</t>
    </r>
    <r>
      <rPr>
        <sz val="22"/>
        <color theme="1"/>
        <rFont val="Calibri"/>
        <family val="2"/>
      </rPr>
      <t xml:space="preserve">
PEMBIAYAAN : 130K
PROFIT SHARING : 30K
TOTAL : 160K
MD TERIMA : 160K CASH</t>
    </r>
  </si>
  <si>
    <t>GOLDEN IZZ ENTEPRISE (PBB 3815520811)</t>
  </si>
  <si>
    <t>70 : 30</t>
  </si>
  <si>
    <t xml:space="preserve">JUMLAH TUNGGAKAN PEMBIAYAAN (RM) (E)
(A+ B + C+ D = E) </t>
  </si>
  <si>
    <t>30000/PROJEK</t>
  </si>
  <si>
    <t>70000/PROJEK</t>
  </si>
  <si>
    <t>90000/PROJEK</t>
  </si>
  <si>
    <t>TUNGGAKAN PERKONGSIAN KEUNTUNGAN (RM) (C)</t>
  </si>
  <si>
    <t>PENAMA : 
MOHD AZRUL BIN ZAKARIA
MUHAMMAD AZHAN BIN ZAKARIA</t>
  </si>
  <si>
    <t>- KEMATIAN SALAH SEORANG PENAMA ASET
- LAWYER MINTA BAGI MASA SEHINGGA BULAN 8 2024 UNTUK PROSES CAIRKAN TANAH (ASET LAIN)</t>
  </si>
  <si>
    <t xml:space="preserve">PERKONGSIAN KEUNTUNGAN (RM) </t>
  </si>
  <si>
    <t>TIADA. MD WAIVED KIRAAN CAJ LEWAT PADA 23.02.2020</t>
  </si>
  <si>
    <t>TUNGGAKAN 2 BULAN (SEHINGGA FEB 2020)
OKT - RM 6,750
NOV - RM 6,750
- LAWYER TELAH KELUARKAN NOD KEPADA EN.ALI &amp; AR CARD RETURN TANPA PENERIMA
- PENDING NOD DARIPADA LAWYER UNTUK REKOD SYARIKAT
- BAWA KES KE PERINGKAT SETERUSNYA
- LAWYER MAKLUM AKAN KE KELANTAN URUS PERJUMPAAN DENGAN EN.ALI PADA 15.07.2025
- MD AKAN BAWA DOC JUMPA EN. HAFIZ ROSLAN</t>
  </si>
  <si>
    <t>REQUEST MUKA SURAT BELAKANG
(GERAN) DENGAN LAWYER</t>
  </si>
  <si>
    <t xml:space="preserve"> LAWYER TELAH KELUARKAN SURAT JAMINAN PENYELESAIAN PADA 21.06.2023</t>
  </si>
  <si>
    <t>MD NAK TUNTUT MODAL SAHAJA RM650K TANPA TUNGGAKAN DIVIDEN 2 BULAN (RM20K)
SALAH SEBUAH TANAH DISEWA OLEH PEMILIK KEDAI MAKAN.
TUNGGAKAN BULAN 5-7 (RM2,400) : BAYAR SECARA ANSURAN RM400 BERMULA SEPTEMBER 2023 - JANUARI 2024
SAMBUNGAN SEWA SEHINGGA KINI SEBANYAK RM800 SEBULAN</t>
  </si>
  <si>
    <t>MEI 23 - BAYAR
SETERUSNYA - TIDAK BAYAR
CUT OFF CAJ LEWAT SEHINGGA 31.12.2023
TINDAKAN TIDAK BAYAR - AWAL BULAN 9 TELAH SELESAI TUKAR NAMA
REQUEST MUKA SURAT BELAKANG (GERAN)
TAMAT PERJANJIAN PADA 20.04.2024</t>
  </si>
  <si>
    <t>TARIKH KEMASKINI : 17.11.2025</t>
  </si>
  <si>
    <t>MUAZ SERVICES SDN BHD</t>
  </si>
  <si>
    <t>MUHAMAD AZMIDI BIN ABDULLAH</t>
  </si>
  <si>
    <t>NO. HSM 5819 PT 104675</t>
  </si>
  <si>
    <t>PINJAMAN AKAN DIBAYAR DALAM TEMPOH 8 TAHUN SEBANYAK RM80K &amp; TAMBAHAN RM10K DENGAN RELA HATI.
PINJAMAN MODAL DIBERI PADA 04.12.2025</t>
  </si>
  <si>
    <t>MOHD RADZI BIN PONIRAN</t>
  </si>
  <si>
    <t xml:space="preserve">1. PINJAMAN PERSAHABATAN PADA 16/02/2026
2. BAYAR DALAM TEMPOH 10 BULAN (MAX)
3. KOS PENGURUSAN : PEMINJAM PERLU MEMBAYAR DIVIDEN RM 1500
4. PINJAMAN DAN KOS PENGURUSAN AKAN DIBAYAR PADA 1/7/2026 ATAU LEBIH AWAL </t>
  </si>
  <si>
    <t>MOHSIN BIN AHMAD</t>
  </si>
  <si>
    <t>MOHD AZRUL BIN ZAKARIA (CASH)</t>
  </si>
  <si>
    <t>MOHD AZRUL
BIN ZAKARIA (PBB 5325)</t>
  </si>
  <si>
    <t>NIK MOHAMAD ANUAR BIN BADIRUDDEEN (TETUAN IBRAHIM &amp; FUAADAH)</t>
  </si>
  <si>
    <t>40% DARIPADA HASIL YURAN PROFESIONAL GUAMAN YANG DIPEROLEHI DARI KLIEN PIHAK KEDUA BAGI KES TUNTUTAN KEMALANGAN JALANRAYA.
PECAHAN
40%, MINIMUM 80,000, PERLU DIBAYAR DALAM TEMPOH 12 BULAN &amp; SEKIRANYA TERDAPAT KEUNTUNGAN TAMBAHAN DARI KEUNTUNGAN MINIMUM, PERLU DIBAYAR DALAM TEMPOH 14 BULAN (MSSB)
60% (NIK MOHAMAD)</t>
  </si>
  <si>
    <t>TARIKH KEMASKINI : 06.05.2026</t>
  </si>
  <si>
    <t>MOHAMAD FAHMI BIN PATHIL</t>
  </si>
  <si>
    <t>JUNE 2026 : 5200
JULY 2026 : 4160
AUG 2026 : 3120
SEP 2026 : 2080
OCT 2026 : 1040
15,600</t>
  </si>
  <si>
    <t>1. PINJAMAN MODAL PADA 28/2/26
2. PEMINJAM AKAN BAYAR BALIK PADA 17-18/03/2026
3. MINTAK EXTENSION SEHINGGA AKHIR BULAN 4
4. AKAN F/UP 14/5 SEBAB DIA BELUM BAYAR</t>
  </si>
  <si>
    <t>POST DATED CHEQUE</t>
  </si>
  <si>
    <t>RECEIVED CHEQUE</t>
  </si>
  <si>
    <t>TANAH (2 BIJI RUMAH TERES - KEMASIK)
- NILAIAN 500,000</t>
  </si>
  <si>
    <t>TELAH SIGN BORANG 14A, TUNGGU BAYARAN STAMPING LHDN</t>
  </si>
  <si>
    <t>TARIKH KEMASKINI : 08.06.2026</t>
  </si>
  <si>
    <t>TEMPOH ASAL : 8 BULAN 
LANJUTAN PINJAMAN SEHINGGA 31/03/2025
BAYARAN BALIK TERMASUK PROFIT SHARING : 340,000 ATAU 350,000
03.08.2025 - LANJUTAN SEHINGGA MAC 2026
14.04.2026 - LANJUTAN SEHINGGA DISEMBER 2026 KERANA PERMOHONAN AKAN DIANGKAT SEMULA DAN MELALUI PROSES AWALAN KERANA MF PROPERTIES TIDAK SETUJU DENGAN KELULUSAN PERTAMA YANG TELAH MENGURANGKAN JUMLAH BILANGAN LOT TANAH SEPERTIMANA PERANCANGAN AWAL MF PROPERTIES. 
MD TERIMA BAYARAN RM 335,000 PADA 26.05.2026 (CASH)
BAKI RM5K TUNGGU FIRDAUS BAYAR KEPADA MD</t>
  </si>
  <si>
    <t>SIGNED ON 7/1/25
PINJAMAN DIURUSKAN OLEH LAWYER IWANI
PERLU BAYAR BALIK MODAL DALAM TEMPOH 14 BULAN
*AKAN MASUKKAN POSTDATED CHEQUE DALAM DRAFT AGREEMENT
- 30000 SETIAP BULAN UNTUK 7 BULAN
- 270000 UNTUK BULAN 1/27 (PENDING CHEQUE, BUKU HABIS)</t>
  </si>
  <si>
    <t>DEFAULT EVENT : 8%
3/6/26 - TERIMA RM85,200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</si>
</sst>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
  </numFmts>
  <fonts count="13" x14ac:knownFonts="1">
    <font>
      <sz val="11"/>
      <color theme="1"/>
      <name val="Calibri"/>
      <scheme val="minor"/>
    </font>
    <font>
      <sz val="18"/>
      <color theme="1"/>
      <name val="Calibri"/>
      <family val="2"/>
    </font>
    <font>
      <sz val="11"/>
      <color theme="1"/>
      <name val="Calibri"/>
      <family val="2"/>
    </font>
    <font>
      <b/>
      <sz val="22"/>
      <color theme="1"/>
      <name val="Calibri"/>
      <family val="2"/>
    </font>
    <font>
      <sz val="22"/>
      <color theme="1"/>
      <name val="Calibri"/>
      <family val="2"/>
    </font>
    <font>
      <b/>
      <sz val="18"/>
      <color theme="1"/>
      <name val="Calibri"/>
      <family val="2"/>
    </font>
    <font>
      <sz val="11"/>
      <name val="Calibri"/>
      <family val="2"/>
    </font>
    <font>
      <sz val="22"/>
      <color rgb="FF000000"/>
      <name val="Calibri"/>
      <family val="2"/>
    </font>
    <font>
      <b/>
      <sz val="48"/>
      <color theme="1"/>
      <name val="Calibri"/>
      <family val="2"/>
    </font>
    <font>
      <sz val="20"/>
      <color theme="1"/>
      <name val="Calibri"/>
      <family val="2"/>
    </font>
    <font>
      <sz val="12"/>
      <color theme="1"/>
      <name val="Calibri"/>
      <family val="2"/>
    </font>
    <font>
      <sz val="22"/>
      <color theme="1"/>
      <name val="Calibri"/>
      <family val="2"/>
      <scheme val="minor"/>
    </font>
    <font>
      <sz val="22"/>
      <color rgb="FFFF0000"/>
      <name val="Calibri"/>
      <family val="2"/>
    </font>
  </fonts>
  <fills count="16">
    <fill>
      <patternFill patternType="none"/>
    </fill>
    <fill>
      <patternFill patternType="gray125"/>
    </fill>
    <fill>
      <patternFill patternType="solid">
        <fgColor rgb="FF92D050"/>
        <bgColor rgb="FF92D050"/>
      </patternFill>
    </fill>
    <fill>
      <patternFill patternType="solid">
        <fgColor theme="0"/>
        <bgColor theme="0"/>
      </patternFill>
    </fill>
    <fill>
      <patternFill patternType="solid">
        <fgColor rgb="FFA8D08D"/>
        <bgColor rgb="FFA8D08D"/>
      </patternFill>
    </fill>
    <fill>
      <patternFill patternType="solid">
        <fgColor rgb="FFFFFFFF"/>
        <bgColor rgb="FFFFFFFF"/>
      </patternFill>
    </fill>
    <fill>
      <patternFill patternType="solid">
        <fgColor rgb="FFD8D8D8"/>
        <bgColor rgb="FFD8D8D8"/>
      </patternFill>
    </fill>
    <fill>
      <patternFill patternType="solid">
        <fgColor rgb="FFF7CAAC"/>
        <bgColor rgb="FFF7CAAC"/>
      </patternFill>
    </fill>
    <fill>
      <patternFill patternType="solid">
        <fgColor rgb="FFFFD965"/>
        <bgColor rgb="FFFFD965"/>
      </patternFill>
    </fill>
    <fill>
      <patternFill patternType="solid">
        <fgColor rgb="FFC8C8C8"/>
        <bgColor rgb="FFC8C8C8"/>
      </patternFill>
    </fill>
    <fill>
      <patternFill patternType="solid">
        <fgColor rgb="FFF4B083"/>
        <bgColor rgb="FFF4B083"/>
      </patternFill>
    </fill>
    <fill>
      <patternFill patternType="solid">
        <fgColor theme="1"/>
        <bgColor theme="0"/>
      </patternFill>
    </fill>
    <fill>
      <patternFill patternType="solid">
        <fgColor theme="9" tint="0.39997558519241921"/>
        <bgColor theme="0"/>
      </patternFill>
    </fill>
    <fill>
      <patternFill patternType="solid">
        <fgColor theme="1"/>
        <bgColor indexed="64"/>
      </patternFill>
    </fill>
    <fill>
      <patternFill patternType="solid">
        <fgColor rgb="FFFF0000"/>
        <bgColor theme="0"/>
      </patternFill>
    </fill>
    <fill>
      <patternFill patternType="solid">
        <fgColor rgb="FFFFFF00"/>
        <bgColor theme="0"/>
      </patternFill>
    </fill>
  </fills>
  <borders count="30">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000000"/>
      </left>
      <right style="thin">
        <color indexed="64"/>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2">
    <xf numFmtId="0" fontId="0" fillId="0" borderId="0" xfId="0"/>
    <xf numFmtId="0" fontId="1" fillId="0" borderId="0" xfId="0" applyFont="1"/>
    <xf numFmtId="0" fontId="2" fillId="0" borderId="0" xfId="0" applyFont="1"/>
    <xf numFmtId="0" fontId="4" fillId="0" borderId="0" xfId="0" applyFont="1" applyAlignment="1">
      <alignment horizontal="center" vertical="center"/>
    </xf>
    <xf numFmtId="0" fontId="5" fillId="0" borderId="0" xfId="0" applyFont="1" applyAlignment="1">
      <alignment horizontal="right"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wrapText="1"/>
    </xf>
    <xf numFmtId="3" fontId="4" fillId="3" borderId="5" xfId="0" applyNumberFormat="1"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3" borderId="6" xfId="0" applyFont="1" applyFill="1" applyBorder="1" applyAlignment="1">
      <alignment horizontal="center" vertical="center"/>
    </xf>
    <xf numFmtId="0" fontId="2" fillId="0" borderId="5" xfId="0" applyFont="1" applyBorder="1" applyAlignment="1">
      <alignment wrapText="1"/>
    </xf>
    <xf numFmtId="0" fontId="4" fillId="4" borderId="5" xfId="0" applyFont="1" applyFill="1" applyBorder="1" applyAlignment="1">
      <alignment vertical="center" wrapText="1"/>
    </xf>
    <xf numFmtId="0" fontId="7" fillId="5" borderId="5" xfId="0" applyFont="1" applyFill="1" applyBorder="1" applyAlignment="1">
      <alignment horizontal="center" vertical="center" wrapText="1"/>
    </xf>
    <xf numFmtId="0" fontId="4" fillId="0" borderId="5" xfId="0" applyFont="1" applyBorder="1" applyAlignment="1">
      <alignment horizontal="center" vertical="center" wrapText="1"/>
    </xf>
    <xf numFmtId="3" fontId="4" fillId="0" borderId="5" xfId="0" applyNumberFormat="1" applyFont="1" applyBorder="1" applyAlignment="1">
      <alignment horizontal="center" vertical="center" wrapText="1"/>
    </xf>
    <xf numFmtId="0" fontId="4" fillId="3" borderId="4" xfId="0" applyFont="1" applyFill="1" applyBorder="1" applyAlignment="1">
      <alignment vertical="center"/>
    </xf>
    <xf numFmtId="0" fontId="4" fillId="0" borderId="0" xfId="0" applyFont="1" applyAlignment="1">
      <alignment horizontal="center"/>
    </xf>
    <xf numFmtId="0" fontId="4" fillId="0" borderId="0" xfId="0" applyFont="1"/>
    <xf numFmtId="0" fontId="4" fillId="0" borderId="0" xfId="0" applyFont="1" applyAlignment="1">
      <alignment horizontal="right"/>
    </xf>
    <xf numFmtId="0" fontId="2" fillId="0" borderId="0" xfId="0" applyFont="1" applyAlignment="1">
      <alignment horizontal="center"/>
    </xf>
    <xf numFmtId="0" fontId="3" fillId="2" borderId="5"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3" borderId="5" xfId="0" applyFont="1" applyFill="1" applyBorder="1" applyAlignment="1">
      <alignment horizontal="center" vertical="center"/>
    </xf>
    <xf numFmtId="15" fontId="4" fillId="3" borderId="5" xfId="0" quotePrefix="1"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0" fontId="2" fillId="3" borderId="4" xfId="0" applyFont="1" applyFill="1" applyBorder="1" applyAlignment="1">
      <alignment horizontal="center" vertical="center"/>
    </xf>
    <xf numFmtId="0" fontId="2" fillId="0" borderId="0" xfId="0" applyFont="1" applyAlignment="1">
      <alignment horizontal="center" vertical="center"/>
    </xf>
    <xf numFmtId="0" fontId="9" fillId="3" borderId="4" xfId="0" applyFont="1" applyFill="1" applyBorder="1" applyAlignment="1">
      <alignment horizontal="center" vertical="center" wrapText="1"/>
    </xf>
    <xf numFmtId="0" fontId="4" fillId="3" borderId="5" xfId="0" applyFont="1" applyFill="1" applyBorder="1" applyAlignment="1">
      <alignment vertical="center"/>
    </xf>
    <xf numFmtId="49" fontId="4" fillId="3" borderId="5" xfId="0" applyNumberFormat="1" applyFont="1" applyFill="1" applyBorder="1" applyAlignment="1">
      <alignment vertical="center" wrapText="1"/>
    </xf>
    <xf numFmtId="9" fontId="4" fillId="4" borderId="5" xfId="0" applyNumberFormat="1" applyFont="1" applyFill="1" applyBorder="1" applyAlignment="1">
      <alignment horizontal="center" vertical="center" wrapText="1"/>
    </xf>
    <xf numFmtId="0" fontId="4" fillId="3" borderId="5" xfId="0" applyFont="1" applyFill="1" applyBorder="1" applyAlignment="1">
      <alignment vertical="center" wrapText="1"/>
    </xf>
    <xf numFmtId="0" fontId="4" fillId="3" borderId="2" xfId="0" applyFont="1" applyFill="1" applyBorder="1" applyAlignment="1">
      <alignment horizontal="center" vertical="center"/>
    </xf>
    <xf numFmtId="0" fontId="4" fillId="3" borderId="2" xfId="0" applyFont="1" applyFill="1" applyBorder="1" applyAlignment="1">
      <alignment horizontal="center" vertical="center" wrapText="1"/>
    </xf>
    <xf numFmtId="3" fontId="4" fillId="3" borderId="2" xfId="0" applyNumberFormat="1" applyFont="1" applyFill="1" applyBorder="1" applyAlignment="1">
      <alignment horizontal="center" vertical="center" wrapText="1"/>
    </xf>
    <xf numFmtId="4" fontId="4" fillId="3" borderId="5" xfId="0" applyNumberFormat="1" applyFont="1" applyFill="1" applyBorder="1" applyAlignment="1">
      <alignment horizontal="center" vertical="center" wrapText="1"/>
    </xf>
    <xf numFmtId="2" fontId="4" fillId="3" borderId="5" xfId="0" quotePrefix="1" applyNumberFormat="1" applyFont="1" applyFill="1" applyBorder="1" applyAlignment="1">
      <alignment horizontal="center" vertical="center" wrapText="1"/>
    </xf>
    <xf numFmtId="0" fontId="4" fillId="3" borderId="5" xfId="0" applyFont="1" applyFill="1" applyBorder="1" applyAlignment="1">
      <alignment horizontal="left" vertical="center" wrapText="1"/>
    </xf>
    <xf numFmtId="0" fontId="4" fillId="0" borderId="0" xfId="0" applyFont="1" applyAlignment="1">
      <alignment vertical="center"/>
    </xf>
    <xf numFmtId="0" fontId="4" fillId="0" borderId="0" xfId="0" applyFont="1" applyAlignment="1">
      <alignment vertical="center" wrapText="1"/>
    </xf>
    <xf numFmtId="0" fontId="3" fillId="0" borderId="0" xfId="0" applyFont="1" applyAlignment="1">
      <alignment horizontal="right"/>
    </xf>
    <xf numFmtId="0" fontId="2" fillId="6" borderId="4" xfId="0" applyFont="1" applyFill="1" applyBorder="1" applyAlignment="1">
      <alignment horizontal="center"/>
    </xf>
    <xf numFmtId="0" fontId="4" fillId="0" borderId="5" xfId="0" applyFont="1" applyBorder="1" applyAlignment="1">
      <alignment horizontal="center" vertical="center"/>
    </xf>
    <xf numFmtId="15" fontId="4" fillId="3" borderId="5" xfId="0" quotePrefix="1" applyNumberFormat="1" applyFont="1" applyFill="1" applyBorder="1" applyAlignment="1">
      <alignment horizontal="center" vertical="center"/>
    </xf>
    <xf numFmtId="0" fontId="2" fillId="7" borderId="4" xfId="0" applyFont="1" applyFill="1" applyBorder="1" applyAlignment="1">
      <alignment horizontal="center" vertical="center"/>
    </xf>
    <xf numFmtId="0" fontId="3" fillId="4" borderId="5" xfId="0" applyFont="1" applyFill="1" applyBorder="1" applyAlignment="1">
      <alignment horizontal="left" vertical="center" wrapText="1"/>
    </xf>
    <xf numFmtId="164" fontId="4" fillId="3" borderId="5" xfId="0" quotePrefix="1" applyNumberFormat="1" applyFont="1" applyFill="1" applyBorder="1" applyAlignment="1">
      <alignment horizontal="center" vertical="center" wrapText="1"/>
    </xf>
    <xf numFmtId="4" fontId="4" fillId="3" borderId="11" xfId="0" applyNumberFormat="1" applyFont="1" applyFill="1" applyBorder="1" applyAlignment="1">
      <alignment horizontal="center" vertical="center" wrapText="1"/>
    </xf>
    <xf numFmtId="15" fontId="4" fillId="3" borderId="5" xfId="0" applyNumberFormat="1" applyFont="1" applyFill="1" applyBorder="1" applyAlignment="1">
      <alignment horizontal="center" vertical="center"/>
    </xf>
    <xf numFmtId="0" fontId="7" fillId="3" borderId="5" xfId="0" applyFont="1" applyFill="1" applyBorder="1" applyAlignment="1">
      <alignment horizontal="left" vertical="center" wrapText="1"/>
    </xf>
    <xf numFmtId="0" fontId="7" fillId="0" borderId="5" xfId="0" applyFont="1" applyBorder="1" applyAlignment="1">
      <alignment horizontal="left" vertical="center" wrapText="1"/>
    </xf>
    <xf numFmtId="15" fontId="4" fillId="3" borderId="5" xfId="0" applyNumberFormat="1" applyFont="1" applyFill="1" applyBorder="1" applyAlignment="1">
      <alignment horizontal="center" vertical="center" wrapText="1"/>
    </xf>
    <xf numFmtId="49" fontId="4" fillId="3" borderId="5" xfId="0" applyNumberFormat="1" applyFont="1" applyFill="1" applyBorder="1" applyAlignment="1">
      <alignment horizontal="center" vertical="center" wrapText="1"/>
    </xf>
    <xf numFmtId="0" fontId="4" fillId="3" borderId="4" xfId="0" applyFont="1" applyFill="1" applyBorder="1" applyAlignment="1">
      <alignment horizontal="center" vertical="center" wrapText="1"/>
    </xf>
    <xf numFmtId="15" fontId="4" fillId="3" borderId="4" xfId="0" applyNumberFormat="1" applyFont="1" applyFill="1" applyBorder="1" applyAlignment="1">
      <alignment horizontal="center" vertical="center"/>
    </xf>
    <xf numFmtId="0" fontId="4" fillId="0" borderId="0" xfId="0" applyFont="1" applyAlignment="1">
      <alignment horizontal="center" vertical="center" wrapText="1"/>
    </xf>
    <xf numFmtId="0" fontId="4" fillId="3" borderId="4" xfId="0" applyFont="1" applyFill="1" applyBorder="1" applyAlignment="1">
      <alignment horizontal="center"/>
    </xf>
    <xf numFmtId="49" fontId="4" fillId="3" borderId="4" xfId="0" applyNumberFormat="1" applyFont="1" applyFill="1" applyBorder="1" applyAlignment="1">
      <alignment horizontal="center"/>
    </xf>
    <xf numFmtId="0" fontId="1" fillId="0" borderId="0" xfId="0" applyFont="1" applyAlignment="1">
      <alignment horizontal="center"/>
    </xf>
    <xf numFmtId="0" fontId="1" fillId="3" borderId="4" xfId="0" applyFont="1" applyFill="1" applyBorder="1" applyAlignment="1">
      <alignment horizontal="center"/>
    </xf>
    <xf numFmtId="49" fontId="1" fillId="3" borderId="4" xfId="0" applyNumberFormat="1" applyFont="1" applyFill="1" applyBorder="1" applyAlignment="1">
      <alignment horizontal="center"/>
    </xf>
    <xf numFmtId="0" fontId="1" fillId="8" borderId="4" xfId="0" applyFont="1" applyFill="1" applyBorder="1" applyAlignment="1">
      <alignment horizontal="center"/>
    </xf>
    <xf numFmtId="0" fontId="2" fillId="9" borderId="4" xfId="0" applyFont="1" applyFill="1" applyBorder="1"/>
    <xf numFmtId="0" fontId="2" fillId="10" borderId="4" xfId="0" applyFont="1" applyFill="1" applyBorder="1"/>
    <xf numFmtId="0" fontId="3" fillId="0" borderId="0" xfId="0" applyFont="1"/>
    <xf numFmtId="0" fontId="3" fillId="2" borderId="5" xfId="0" applyFont="1" applyFill="1" applyBorder="1" applyAlignment="1">
      <alignment horizontal="center" vertical="center"/>
    </xf>
    <xf numFmtId="0" fontId="3" fillId="2" borderId="10" xfId="0" applyFont="1" applyFill="1" applyBorder="1" applyAlignment="1">
      <alignment horizontal="center" vertical="center"/>
    </xf>
    <xf numFmtId="0" fontId="4" fillId="0" borderId="9" xfId="0" applyFont="1" applyBorder="1" applyAlignment="1">
      <alignment horizontal="center" vertical="center"/>
    </xf>
    <xf numFmtId="0" fontId="4" fillId="0" borderId="5" xfId="0" applyFont="1" applyBorder="1" applyAlignment="1">
      <alignment horizontal="center"/>
    </xf>
    <xf numFmtId="0" fontId="4" fillId="3" borderId="5" xfId="0" applyFont="1" applyFill="1" applyBorder="1" applyAlignment="1">
      <alignment horizontal="center"/>
    </xf>
    <xf numFmtId="49" fontId="4" fillId="3" borderId="5" xfId="0" applyNumberFormat="1" applyFont="1" applyFill="1" applyBorder="1" applyAlignment="1">
      <alignment horizontal="center"/>
    </xf>
    <xf numFmtId="164" fontId="4" fillId="3" borderId="5" xfId="0" applyNumberFormat="1" applyFont="1" applyFill="1" applyBorder="1" applyAlignment="1">
      <alignment horizontal="center"/>
    </xf>
    <xf numFmtId="0" fontId="1" fillId="0" borderId="5" xfId="0" applyFont="1" applyBorder="1" applyAlignment="1">
      <alignment horizontal="center"/>
    </xf>
    <xf numFmtId="0" fontId="1" fillId="3" borderId="5" xfId="0" applyFont="1" applyFill="1" applyBorder="1" applyAlignment="1">
      <alignment horizontal="center"/>
    </xf>
    <xf numFmtId="49" fontId="1" fillId="3" borderId="5" xfId="0" applyNumberFormat="1" applyFont="1" applyFill="1" applyBorder="1" applyAlignment="1">
      <alignment horizontal="center"/>
    </xf>
    <xf numFmtId="164" fontId="1" fillId="3" borderId="5" xfId="0" applyNumberFormat="1" applyFont="1" applyFill="1" applyBorder="1" applyAlignment="1">
      <alignment horizontal="center"/>
    </xf>
    <xf numFmtId="0" fontId="1" fillId="0" borderId="0" xfId="0" applyFont="1" applyAlignment="1">
      <alignment horizontal="left"/>
    </xf>
    <xf numFmtId="0" fontId="2" fillId="0" borderId="0" xfId="0" applyFont="1" applyAlignment="1">
      <alignment horizontal="left"/>
    </xf>
    <xf numFmtId="0" fontId="3" fillId="2" borderId="9" xfId="0" applyFont="1" applyFill="1" applyBorder="1" applyAlignment="1">
      <alignment horizontal="center" vertical="center" wrapText="1"/>
    </xf>
    <xf numFmtId="0" fontId="4" fillId="3" borderId="9" xfId="0" applyFont="1" applyFill="1" applyBorder="1" applyAlignment="1">
      <alignment horizontal="center" vertical="center"/>
    </xf>
    <xf numFmtId="0" fontId="4" fillId="3" borderId="9" xfId="0" applyFont="1" applyFill="1" applyBorder="1" applyAlignment="1">
      <alignment horizontal="center" vertical="center" wrapText="1"/>
    </xf>
    <xf numFmtId="0" fontId="11" fillId="0" borderId="0" xfId="0" applyFont="1"/>
    <xf numFmtId="15" fontId="4" fillId="3" borderId="9" xfId="0" quotePrefix="1" applyNumberFormat="1" applyFont="1" applyFill="1" applyBorder="1" applyAlignment="1">
      <alignment horizontal="center" vertical="center" wrapText="1"/>
    </xf>
    <xf numFmtId="3" fontId="4" fillId="3" borderId="9" xfId="0" applyNumberFormat="1" applyFont="1" applyFill="1" applyBorder="1" applyAlignment="1">
      <alignment horizontal="center" vertical="center" wrapText="1"/>
    </xf>
    <xf numFmtId="0" fontId="4" fillId="11" borderId="5" xfId="0" applyFont="1" applyFill="1" applyBorder="1" applyAlignment="1">
      <alignment horizontal="center" vertical="center" wrapText="1"/>
    </xf>
    <xf numFmtId="3" fontId="4" fillId="11" borderId="5" xfId="0" applyNumberFormat="1" applyFont="1" applyFill="1" applyBorder="1" applyAlignment="1">
      <alignment horizontal="center" vertical="center" wrapText="1"/>
    </xf>
    <xf numFmtId="0" fontId="4" fillId="11" borderId="5" xfId="0" applyFont="1" applyFill="1" applyBorder="1" applyAlignment="1">
      <alignment vertical="center" wrapText="1"/>
    </xf>
    <xf numFmtId="0" fontId="4" fillId="0" borderId="13" xfId="0" applyFont="1" applyBorder="1" applyAlignment="1">
      <alignment vertical="center"/>
    </xf>
    <xf numFmtId="0" fontId="4" fillId="0" borderId="16" xfId="0" applyFont="1" applyBorder="1" applyAlignment="1">
      <alignment vertical="center"/>
    </xf>
    <xf numFmtId="0" fontId="4" fillId="3" borderId="8" xfId="0" applyFont="1" applyFill="1" applyBorder="1" applyAlignment="1">
      <alignment horizontal="center" vertical="center" wrapText="1"/>
    </xf>
    <xf numFmtId="0" fontId="2" fillId="3" borderId="9" xfId="0" applyFont="1" applyFill="1" applyBorder="1" applyAlignment="1">
      <alignment horizontal="center" vertical="center"/>
    </xf>
    <xf numFmtId="3" fontId="4" fillId="11" borderId="5" xfId="0" applyNumberFormat="1" applyFont="1" applyFill="1" applyBorder="1" applyAlignment="1">
      <alignment vertical="center" wrapText="1"/>
    </xf>
    <xf numFmtId="4" fontId="4" fillId="11" borderId="5" xfId="0" applyNumberFormat="1" applyFont="1" applyFill="1" applyBorder="1" applyAlignment="1">
      <alignment vertical="center" wrapText="1"/>
    </xf>
    <xf numFmtId="49" fontId="4" fillId="11" borderId="5" xfId="0" applyNumberFormat="1" applyFont="1" applyFill="1" applyBorder="1" applyAlignment="1">
      <alignment vertical="center" wrapText="1"/>
    </xf>
    <xf numFmtId="0" fontId="4" fillId="12" borderId="5" xfId="0" applyFont="1" applyFill="1" applyBorder="1" applyAlignment="1">
      <alignment horizontal="center" vertical="center" wrapText="1"/>
    </xf>
    <xf numFmtId="3" fontId="12" fillId="11" borderId="5" xfId="0" applyNumberFormat="1" applyFont="1" applyFill="1" applyBorder="1" applyAlignment="1">
      <alignment horizontal="center" vertical="center" wrapText="1"/>
    </xf>
    <xf numFmtId="46" fontId="4" fillId="3" borderId="5" xfId="0" quotePrefix="1" applyNumberFormat="1" applyFont="1" applyFill="1" applyBorder="1" applyAlignment="1">
      <alignment horizontal="center" vertical="center" wrapText="1"/>
    </xf>
    <xf numFmtId="3" fontId="4" fillId="14" borderId="2" xfId="0" applyNumberFormat="1" applyFont="1" applyFill="1" applyBorder="1" applyAlignment="1">
      <alignment horizontal="center" vertical="center" wrapText="1"/>
    </xf>
    <xf numFmtId="3" fontId="4" fillId="14" borderId="9" xfId="0" applyNumberFormat="1" applyFont="1" applyFill="1" applyBorder="1" applyAlignment="1">
      <alignment horizontal="center" vertical="center" wrapText="1"/>
    </xf>
    <xf numFmtId="0" fontId="4" fillId="14" borderId="5" xfId="0" applyFont="1" applyFill="1" applyBorder="1" applyAlignment="1">
      <alignment horizontal="center" vertical="center" wrapText="1"/>
    </xf>
    <xf numFmtId="0" fontId="4" fillId="14" borderId="5" xfId="0" applyFont="1" applyFill="1" applyBorder="1" applyAlignment="1">
      <alignment vertical="center" wrapText="1"/>
    </xf>
    <xf numFmtId="0" fontId="4" fillId="0" borderId="27" xfId="0" applyFont="1" applyBorder="1" applyAlignment="1">
      <alignment horizontal="center" vertical="center" wrapText="1"/>
    </xf>
    <xf numFmtId="49" fontId="1" fillId="3" borderId="5" xfId="0" applyNumberFormat="1" applyFont="1" applyFill="1" applyBorder="1" applyAlignment="1">
      <alignment horizontal="left" vertical="center" wrapText="1"/>
    </xf>
    <xf numFmtId="0" fontId="4" fillId="15" borderId="5" xfId="0" applyFont="1" applyFill="1" applyBorder="1" applyAlignment="1">
      <alignment horizontal="center" vertical="center" wrapText="1"/>
    </xf>
    <xf numFmtId="15" fontId="4" fillId="15" borderId="5" xfId="0" applyNumberFormat="1" applyFont="1" applyFill="1" applyBorder="1" applyAlignment="1">
      <alignment horizontal="center" vertical="center"/>
    </xf>
    <xf numFmtId="0" fontId="4" fillId="15" borderId="5" xfId="0" applyFont="1" applyFill="1" applyBorder="1" applyAlignment="1">
      <alignment horizontal="center" vertical="center"/>
    </xf>
    <xf numFmtId="0" fontId="4" fillId="3" borderId="7" xfId="0" applyFont="1" applyFill="1" applyBorder="1" applyAlignment="1">
      <alignment horizontal="center" vertical="center"/>
    </xf>
    <xf numFmtId="0" fontId="4" fillId="11" borderId="2" xfId="0" applyFont="1" applyFill="1" applyBorder="1" applyAlignment="1">
      <alignment horizontal="center" vertical="center" wrapText="1"/>
    </xf>
    <xf numFmtId="0" fontId="4" fillId="3" borderId="29" xfId="0" applyFont="1" applyFill="1" applyBorder="1" applyAlignment="1">
      <alignment horizontal="center" vertical="center"/>
    </xf>
    <xf numFmtId="0" fontId="4" fillId="0" borderId="29" xfId="0" applyFont="1" applyBorder="1" applyAlignment="1">
      <alignment horizontal="center" vertical="center" wrapText="1"/>
    </xf>
    <xf numFmtId="0" fontId="4" fillId="3" borderId="29" xfId="0" applyFont="1" applyFill="1" applyBorder="1" applyAlignment="1">
      <alignment horizontal="center" vertical="center" wrapText="1"/>
    </xf>
    <xf numFmtId="3" fontId="4" fillId="3" borderId="29" xfId="0" applyNumberFormat="1" applyFont="1" applyFill="1" applyBorder="1" applyAlignment="1">
      <alignment horizontal="center" vertical="center" wrapText="1"/>
    </xf>
    <xf numFmtId="0" fontId="4" fillId="11" borderId="29" xfId="0" applyFont="1" applyFill="1" applyBorder="1" applyAlignment="1">
      <alignment horizontal="center" vertical="center" wrapText="1"/>
    </xf>
    <xf numFmtId="0" fontId="11" fillId="0" borderId="0" xfId="0" applyFont="1" applyAlignment="1">
      <alignment horizontal="center" vertical="center" wrapText="1"/>
    </xf>
    <xf numFmtId="15" fontId="4" fillId="11" borderId="2" xfId="0" applyNumberFormat="1" applyFont="1" applyFill="1" applyBorder="1" applyAlignment="1">
      <alignment horizontal="center" vertical="center"/>
    </xf>
    <xf numFmtId="0" fontId="4" fillId="11" borderId="2" xfId="0" applyFont="1" applyFill="1" applyBorder="1" applyAlignment="1">
      <alignment horizontal="center" vertical="center"/>
    </xf>
    <xf numFmtId="0" fontId="3" fillId="2" borderId="2" xfId="0" applyFont="1" applyFill="1" applyBorder="1" applyAlignment="1">
      <alignment horizontal="center" vertical="center"/>
    </xf>
    <xf numFmtId="0" fontId="6" fillId="0" borderId="9" xfId="0" applyFont="1" applyBorder="1"/>
    <xf numFmtId="0" fontId="4" fillId="3" borderId="7" xfId="0" applyFont="1" applyFill="1" applyBorder="1" applyAlignment="1">
      <alignment horizontal="center" vertical="center"/>
    </xf>
    <xf numFmtId="0" fontId="6" fillId="0" borderId="8" xfId="0" applyFont="1" applyBorder="1"/>
    <xf numFmtId="0" fontId="6" fillId="0" borderId="12" xfId="0" applyFont="1" applyBorder="1"/>
    <xf numFmtId="0" fontId="4" fillId="3" borderId="2" xfId="0" applyFont="1" applyFill="1" applyBorder="1" applyAlignment="1">
      <alignment horizontal="center" vertical="center" wrapText="1"/>
    </xf>
    <xf numFmtId="0" fontId="6" fillId="0" borderId="11" xfId="0" applyFont="1" applyBorder="1"/>
    <xf numFmtId="0" fontId="3" fillId="0" borderId="0" xfId="0" applyFont="1" applyAlignment="1">
      <alignment horizontal="left" vertical="center"/>
    </xf>
    <xf numFmtId="0" fontId="0" fillId="0" borderId="0" xfId="0"/>
    <xf numFmtId="0" fontId="3" fillId="2" borderId="6" xfId="0" applyFont="1" applyFill="1" applyBorder="1" applyAlignment="1">
      <alignment horizontal="center" vertical="center"/>
    </xf>
    <xf numFmtId="0" fontId="6" fillId="0" borderId="10" xfId="0" applyFont="1" applyBorder="1"/>
    <xf numFmtId="0" fontId="6" fillId="0" borderId="1" xfId="0" applyFont="1" applyBorder="1"/>
    <xf numFmtId="0" fontId="3" fillId="2" borderId="10" xfId="0" applyFont="1" applyFill="1" applyBorder="1" applyAlignment="1">
      <alignment horizontal="center" vertical="center"/>
    </xf>
    <xf numFmtId="0" fontId="8" fillId="0" borderId="0" xfId="0" applyFont="1" applyAlignment="1">
      <alignment horizontal="center"/>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3" fontId="4" fillId="3" borderId="2" xfId="0" applyNumberFormat="1" applyFont="1" applyFill="1" applyBorder="1" applyAlignment="1">
      <alignment horizontal="center" vertical="center" wrapText="1"/>
    </xf>
    <xf numFmtId="49" fontId="4" fillId="3" borderId="2" xfId="0" applyNumberFormat="1" applyFont="1" applyFill="1" applyBorder="1" applyAlignment="1">
      <alignment horizontal="center" vertical="center" wrapText="1"/>
    </xf>
    <xf numFmtId="0" fontId="4" fillId="3" borderId="2" xfId="0" applyFont="1" applyFill="1" applyBorder="1" applyAlignment="1">
      <alignment horizontal="left" vertical="center" wrapText="1"/>
    </xf>
    <xf numFmtId="4" fontId="4" fillId="3" borderId="2" xfId="0" applyNumberFormat="1" applyFont="1" applyFill="1" applyBorder="1" applyAlignment="1">
      <alignment horizontal="center" vertical="center" wrapText="1"/>
    </xf>
    <xf numFmtId="15" fontId="10" fillId="3" borderId="2" xfId="0" quotePrefix="1" applyNumberFormat="1" applyFont="1" applyFill="1" applyBorder="1" applyAlignment="1">
      <alignment horizontal="center" vertical="center" wrapText="1"/>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3" fontId="4" fillId="0" borderId="22" xfId="0" applyNumberFormat="1" applyFont="1" applyBorder="1" applyAlignment="1">
      <alignment horizontal="center" vertical="center"/>
    </xf>
    <xf numFmtId="3" fontId="4" fillId="0" borderId="26" xfId="0" applyNumberFormat="1" applyFont="1" applyBorder="1" applyAlignment="1">
      <alignment horizontal="center" vertical="center"/>
    </xf>
    <xf numFmtId="0" fontId="4" fillId="13" borderId="14" xfId="0" applyFont="1" applyFill="1" applyBorder="1" applyAlignment="1">
      <alignment horizontal="center" vertical="center" wrapText="1"/>
    </xf>
    <xf numFmtId="0" fontId="4" fillId="13" borderId="15" xfId="0" applyFont="1" applyFill="1" applyBorder="1" applyAlignment="1">
      <alignment horizontal="center" vertical="center" wrapText="1"/>
    </xf>
    <xf numFmtId="0" fontId="4" fillId="13" borderId="17" xfId="0" applyFont="1" applyFill="1" applyBorder="1" applyAlignment="1">
      <alignment horizontal="center" vertical="center" wrapText="1"/>
    </xf>
    <xf numFmtId="0" fontId="4" fillId="13" borderId="18"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1" xfId="0" applyFont="1" applyFill="1" applyBorder="1" applyAlignment="1">
      <alignment horizontal="center" vertical="center"/>
    </xf>
    <xf numFmtId="0" fontId="3" fillId="2" borderId="28" xfId="0" applyFont="1" applyFill="1" applyBorder="1" applyAlignment="1">
      <alignment horizontal="center" vertical="center"/>
    </xf>
    <xf numFmtId="46" fontId="4" fillId="3" borderId="2" xfId="0" quotePrefix="1" applyNumberFormat="1" applyFont="1" applyFill="1" applyBorder="1" applyAlignment="1">
      <alignment horizontal="center" vertical="center" wrapText="1"/>
    </xf>
    <xf numFmtId="46" fontId="4" fillId="3" borderId="9" xfId="0" quotePrefix="1" applyNumberFormat="1" applyFont="1" applyFill="1" applyBorder="1" applyAlignment="1">
      <alignment horizontal="center" vertical="center" wrapText="1"/>
    </xf>
    <xf numFmtId="46" fontId="4" fillId="3" borderId="11" xfId="0" quotePrefix="1" applyNumberFormat="1" applyFont="1" applyFill="1" applyBorder="1" applyAlignment="1">
      <alignment horizontal="center" vertical="center" wrapText="1"/>
    </xf>
    <xf numFmtId="3" fontId="4" fillId="14" borderId="2" xfId="0" applyNumberFormat="1" applyFont="1" applyFill="1" applyBorder="1" applyAlignment="1">
      <alignment horizontal="center" vertical="center" wrapText="1"/>
    </xf>
    <xf numFmtId="3" fontId="4" fillId="14" borderId="9" xfId="0" applyNumberFormat="1" applyFont="1" applyFill="1" applyBorder="1" applyAlignment="1">
      <alignment horizontal="center" vertical="center" wrapText="1"/>
    </xf>
    <xf numFmtId="3" fontId="4" fillId="14" borderId="11" xfId="0" applyNumberFormat="1" applyFont="1" applyFill="1" applyBorder="1" applyAlignment="1">
      <alignment horizontal="center" vertical="center" wrapText="1"/>
    </xf>
    <xf numFmtId="15" fontId="4" fillId="3" borderId="2" xfId="0" quotePrefix="1" applyNumberFormat="1" applyFont="1" applyFill="1" applyBorder="1" applyAlignment="1">
      <alignment horizontal="center" vertical="center" wrapText="1"/>
    </xf>
    <xf numFmtId="15" fontId="4" fillId="3" borderId="9" xfId="0" quotePrefix="1" applyNumberFormat="1" applyFont="1" applyFill="1" applyBorder="1" applyAlignment="1">
      <alignment horizontal="center" vertical="center" wrapText="1"/>
    </xf>
    <xf numFmtId="15" fontId="4" fillId="3" borderId="11" xfId="0" quotePrefix="1" applyNumberFormat="1"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1" xfId="0" applyFont="1" applyFill="1" applyBorder="1" applyAlignment="1">
      <alignment horizontal="center" vertical="center" wrapText="1"/>
    </xf>
    <xf numFmtId="3" fontId="4" fillId="3" borderId="9" xfId="0" applyNumberFormat="1" applyFont="1" applyFill="1" applyBorder="1" applyAlignment="1">
      <alignment horizontal="center" vertical="center" wrapText="1"/>
    </xf>
    <xf numFmtId="3" fontId="4" fillId="3" borderId="11" xfId="0" applyNumberFormat="1" applyFont="1" applyFill="1" applyBorder="1" applyAlignment="1">
      <alignment horizontal="center" vertical="center" wrapText="1"/>
    </xf>
    <xf numFmtId="0" fontId="4" fillId="3" borderId="2"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357189</xdr:colOff>
      <xdr:row>13</xdr:row>
      <xdr:rowOff>224764</xdr:rowOff>
    </xdr:from>
    <xdr:to>
      <xdr:col>25</xdr:col>
      <xdr:colOff>476251</xdr:colOff>
      <xdr:row>14</xdr:row>
      <xdr:rowOff>767319</xdr:rowOff>
    </xdr:to>
    <xdr:pic>
      <xdr:nvPicPr>
        <xdr:cNvPr id="2" name="Picture 1">
          <a:extLst>
            <a:ext uri="{FF2B5EF4-FFF2-40B4-BE49-F238E27FC236}">
              <a16:creationId xmlns:a16="http://schemas.microsoft.com/office/drawing/2014/main" id="{F37B9266-AC15-739F-7BD0-95E282685606}"/>
            </a:ext>
          </a:extLst>
        </xdr:cNvPr>
        <xdr:cNvPicPr>
          <a:picLocks noChangeAspect="1"/>
        </xdr:cNvPicPr>
      </xdr:nvPicPr>
      <xdr:blipFill>
        <a:blip xmlns:r="http://schemas.openxmlformats.org/officeDocument/2006/relationships" r:embed="rId1"/>
        <a:stretch>
          <a:fillRect/>
        </a:stretch>
      </xdr:blipFill>
      <xdr:spPr>
        <a:xfrm>
          <a:off x="32551689" y="27823452"/>
          <a:ext cx="6977062" cy="30666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User" id="{E1B8B19F-C682-488B-BA8D-7D271A7DB3E1}" userId="User" providerId="None"/>
  <person displayName="Nur Farihah" id="{4824089E-0786-4BC6-A7D0-03AA7D0571D6}" userId="0c2fa39489e27d17" providerId="Windows Live"/>
  <person displayName="MFSB MEETING" id="{F0F0CDFE-220F-4F60-8453-A43850D3C358}" userId="1c402b7b9e4d8e2b" providerId="Windows Live"/>
  <person displayName="MUAZ FORCE SDN BHD - NUR FARIHAH ATHIRAH BINTI ROSMADI" id="{EF28314D-AA10-4C8E-AFCF-1B3DCC222010}" userId="6a91908ffb1f23fb" providerId="Windows Live"/>
  <person displayName="Nur Afifa Dayana" id="{9C41EBE2-E30D-49D5-AFA7-73BAA58747B9}" userId="837b1a3a5f6a774d"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6" dT="2025-07-20T06:55:50.98" personId="{EF28314D-AA10-4C8E-AFCF-1B3DCC222010}" id="{D3C3B050-0833-4635-8F7B-3E7B62544078}">
    <text>17.07.2025 - 10 PAGI
- En. Azrul setuju tuntut 300k sahaja
- En. Hafiz maklum bagi masa 14 hari untuk tunggu maklum balas dari pihak en.ali 
- 1/8 akan terus isukan tuntutan ke court
- Akan tarik balik kes jika selesai bayar
- anggaran jangkaan proses 3-6 bulan (januari 2026)</text>
  </threadedComment>
  <threadedComment ref="M6" dT="2025-11-17T03:44:00.12" personId="{EF28314D-AA10-4C8E-AFCF-1B3DCC222010}" id="{AFC94C25-C81F-4749-9035-63CCE451E746}" parentId="{D3C3B050-0833-4635-8F7B-3E7B62544078}">
    <text>12.11.2025 - 3:30 PTG 
-	En.hafiz advice tidak perlu perbincangan lanjut diantara en.hafiz roslan &amp; en.ali vertex
-	30/11/25, En hafiz akan submit writ JID (Judgement In default) di Mahkamah Seksyen Kota Baru - mengikut alamat en. Ali</text>
  </threadedComment>
  <threadedComment ref="M6" dT="2026-03-02T08:20:57.26" personId="{EF28314D-AA10-4C8E-AFCF-1B3DCC222010}" id="{DE120435-1F0A-4AA6-A8F9-0C88ECF6E734}" parentId="{D3C3B050-0833-4635-8F7B-3E7B62544078}">
    <text>24.02.2026
dokumen dah dapat, full draf tuntutan dah siap. lawyer request copy cek yg kita bayar kepada Vertex dahulu. Cek yg berjumlah RM300,000.00. 
Lawyer nak dapatkan bayaran open file untuk kes tuntutan</text>
  </threadedComment>
  <threadedComment ref="M8" dT="2025-07-20T06:57:10.28" personId="{EF28314D-AA10-4C8E-AFCF-1B3DCC222010}" id="{56FD7E31-8135-4F93-B904-3831523D497B}">
    <text>17.07.2025 - 1O PAGI
- Gantian hartanah baru ; tanah pulau sekati (7ekar) - take over bahagian penama tanah Azizah &amp; Zulkifli (1.5ekar dengan nilaian 3 juta lebih)
- Penama azizah dah meninggal dan adik arwah akan tukarkan nama &amp; serah tanah tersebut selepas selesai proses faraid (6 bulan - jan 2026)
- Tunggakan dividen 7 bulan - rm437,500 (62,500/month)</text>
  </threadedComment>
  <threadedComment ref="M8" dT="2025-11-17T03:45:56.47" personId="{EF28314D-AA10-4C8E-AFCF-1B3DCC222010}" id="{AE43C947-F5C8-47BC-A964-B5C5ED581C7F}" parentId="{56FD7E31-8135-4F93-B904-3831523D497B}">
    <text>12.11.2025 - 3:30 PTG
-	Tunggu Borang A diproses
-	Tunggu panggilan daripada Jawatankuasa Pusaka Kecil 
-F/up update Jan 2026 untuk tahu status sudah dipanggil @ belum</text>
  </threadedComment>
  <threadedComment ref="M8" dT="2026-03-02T08:23:40.79" personId="{EF28314D-AA10-4C8E-AFCF-1B3DCC222010}" id="{3341F4D3-D32E-4360-BF06-124EF80E0AF5}" parentId="{56FD7E31-8135-4F93-B904-3831523D497B}">
    <text>24.02.2026
belum dipanggil lagi dan dokumen semua telah di buat submission. Dimaklumkan sedang queue.</text>
  </threadedComment>
  <threadedComment ref="M11" dT="2023-11-19T01:36:50.13" personId="{4824089E-0786-4BC6-A7D0-03AA7D0571D6}" id="{168ECE3E-5882-46D5-B092-B1F955634AED}">
    <text>27.09.2023 
-ROMBAK RAM RUMAH
-MINTAK BAYAR DULU 50K, EN HAFIZ TRY TOLONG DISBURSE TANPA CF
-AKAN UPDATE 2/3.10.2023
31.10.2023
-PAYMENT CLIENT NEXT WEEK
-MINGGU KEDUA NOVEMBER INSYALLAH SELESAI CF. THEN, ADVISE UTK DISBURSE
19.11.2023
-ISU CF SELESAI, MENUNGGU SIJIL CF KELUAR UTK PROSES DISBURSEMENT DUIT
-JV AKAN BUAT BAYARAN KOMITMEN 20K PADA (20-23/11/23)</text>
  </threadedComment>
  <threadedComment ref="M11" dT="2025-07-20T06:59:22.94" personId="{EF28314D-AA10-4C8E-AFCF-1B3DCC222010}" id="{BD0B0B3E-DE70-4F8F-A98A-3873B7116F07}" parentId="{168ECE3E-5882-46D5-B092-B1F955634AED}">
    <text>17.07.2025 - 10 PAGI
- cagaran rumah semi D (paloh) 
- peminjam ada masalah dengan pihak bank
- Alternatif lain bagi cagaran, 5 keping tanah nilaian rm100k setiap 1 lot tanah (5lot x 100k = 500k) 
- En. Hafiz minta bagi masa 1 minggu untuk buat penilaian semula harga tanah supaya memudahkan en.azrul jual semula tanah berkenaan
- Jumlah tunggakan dividen (rm150,120) &amp; caj lewat (rm200,219.41) cut off sehingga 30/1/2024 
- total termasuk modal rm 850,339</text>
  </threadedComment>
  <threadedComment ref="M11" dT="2025-11-17T03:50:10.51" personId="{EF28314D-AA10-4C8E-AFCF-1B3DCC222010}" id="{614A639F-9435-443A-8F32-C9BFE1F01DB4}" parentId="{168ECE3E-5882-46D5-B092-B1F955634AED}">
    <text>17.07.2025 - 3:30 PTG
-rumah cagaran awal2 tak dapat diambil kira kerana rumah tersebut tak dapat CF 
-	 alternatif lain ditawarkan 5 keping lot tanah (anggaran 100k/lot x 5 lot) @ Ambil 5 lot tanah + cash
-lokasi tanah (lot banglo) di area kampung tok geduk ajil, berdekatan smk ahil, masjid, kubur, perodua ajil &amp; tanah KDYMM Sultan Trg
-Akan dibincangkan dengan En. Azrul terlebih dahulu</text>
  </threadedComment>
  <threadedComment ref="M12" dT="2023-11-19T01:37:16.42" personId="{4824089E-0786-4BC6-A7D0-03AA7D0571D6}" id="{A041016D-6A6E-46F2-BDBA-A1B8BADEBD2E}">
    <text xml:space="preserve">
24.08.2023 - RM4,600
05.09.2023 - RM1,200
05.10.2023 - RM1,200
06.11.2023 - RM1,200</text>
  </threadedComment>
  <threadedComment ref="M12" dT="2023-12-06T01:09:04.76" personId="{E1B8B19F-C682-488B-BA8D-7D271A7DB3E1}" id="{44DF26E0-1CB3-4F59-BE88-6C59597421D4}" parentId="{A041016D-6A6E-46F2-BDBA-A1B8BADEBD2E}">
    <text>06.12.2023 - RM1,200</text>
  </threadedComment>
  <threadedComment ref="M12" dT="2025-07-17T09:44:59.98" personId="{9C41EBE2-E30D-49D5-AFA7-73BAA58747B9}" id="{937A75E2-C247-43E6-8EDA-EE29C811D2C7}" parentId="{A041016D-6A6E-46F2-BDBA-A1B8BADEBD2E}">
    <text>Kiraan caj lewat cut off sehingga 30/1/2024</text>
  </threadedComment>
  <threadedComment ref="M12" dT="2025-07-20T06:56:42.26" personId="{EF28314D-AA10-4C8E-AFCF-1B3DCC222010}" id="{275C46A8-6789-45FC-986E-C5A9967E24F7}" parentId="{A041016D-6A6E-46F2-BDBA-A1B8BADEBD2E}">
    <text>17.07.2025 - 10 PAGI 
Pending perjanjian baru bermula bulan januari 2025</text>
  </threadedComment>
  <threadedComment ref="M12" dT="2025-11-17T03:44:28.16" personId="{EF28314D-AA10-4C8E-AFCF-1B3DCC222010}" id="{20A692E3-DE5D-47B8-A362-79A9690D9CAF}" parentId="{A041016D-6A6E-46F2-BDBA-A1B8BADEBD2E}">
    <text>17.11.2025 - 3:30 PTG
-	En hafiz advice untuk tidak membuat agreement baru supaya senang proses jika nak gunakan tanah bila-bila masa
-	Sambung sewa guna surat lanjutan sewa sahaja
-	F/up surat lanjutan sewa pada 18/12/2025</text>
  </threadedComment>
  <threadedComment ref="M13" dT="2023-11-26T03:14:00.33" personId="{4824089E-0786-4BC6-A7D0-03AA7D0571D6}" id="{19925FBB-F192-419B-A41E-043B16E1532C}">
    <text>19.11.2023
-LAWYER ADA JUMPA DGN JV 14.11.2023 UTK NK BUAT PENYELESAIAN SEPARUH (ATAS SALAH 1 ASET RUMAH)
-MINTA BUAT KIRAAN CAJ LEWAT CUT OFF 31.12.2023 UTK KESELURUHAN CAJ LEWAT BERMULA JUN 2023</text>
  </threadedComment>
  <threadedComment ref="M13" dT="2025-07-20T06:57:52.53" personId="{EF28314D-AA10-4C8E-AFCF-1B3DCC222010}" id="{2D4D7B8F-DB83-4EDD-AA7B-C1596B117EDD}" parentId="{19925FBB-F192-419B-A41E-043B16E1532C}">
    <text>17.07.2025 - 10 PAGI
- En. Azrul akan atur orang visit tempat berkenaan &amp; update lokasi kepada en.hafiz
- En.hafiz akan visit tempat berkenaan selepas dapat location untuk ambil gambar dan propose untuk tindakan selanjutnya samada jual atau bagi ruang untuk bayaran balik
- Cagaran - rumah teres 1 tingkat 2 unit di kemasik
- Tunggakan dividen (rm59,584 - 11 bulan) dan caj lewat (11,449.28) cut off sehingga 31.12.23 
- total termasuk modal rm321,033.28</text>
  </threadedComment>
  <threadedComment ref="M13" dT="2025-11-17T03:48:31.19" personId="{EF28314D-AA10-4C8E-AFCF-1B3DCC222010}" id="{3CC389FA-4238-481A-8041-BFC437380D37}" parentId="{19925FBB-F192-419B-A41E-043B16E1532C}">
    <text>12.11.2025 - 3:30 PTG
-	Bahagian aset en. Azrul dah fully secured
-	 En. Hafiz survey harga Jualan rumah disekitar taman aset cagaran adalah RM300k
-	Boleh iklankan untuk jualan &amp; serah maklumat pembeli kepada en.hafiz atau ;
-	Bincang dengan introducer jika masih ada ruang dan kemampuan peminjam untuk buat bayaran tanpa cairkan aset cagaran</text>
  </threadedComment>
  <threadedComment ref="M14" dT="2023-11-26T03:15:12.50" personId="{4824089E-0786-4BC6-A7D0-03AA7D0571D6}" id="{D0F9DECC-137E-431F-9C79-2741E0CCF9FF}">
    <text>19.11.2023
-LAWYER ADA F/UP 16.11.2023 &amp; JV AKAN BUAT BAYARAN PADA (20-23/11/23)</text>
  </threadedComment>
  <threadedComment ref="M14" dT="2025-07-20T06:57:25.08" personId="{EF28314D-AA10-4C8E-AFCF-1B3DCC222010}" id="{E26D952B-0C64-4680-B8E1-82B97E290E71}" parentId="{D0F9DECC-137E-431F-9C79-2741E0CCF9FF}">
    <text>17.07.2025  - 10 PAGI
- Pending CCC rumah (stand meter SATU belum dipasang). Bank tak dapat disburse selagi CCC tak dapat 
- Cagaran RM300K - 3 buah rumah semi D di area mukim kuala nerus (airport/area rumah abang jamil)
- Cagaran RM700K - tanah bangunan lot kedai KT bypass bukit bayas/lot tanah jalan semarak/rumah semi D 1 buah mukim kuala nerus (area airport/area rumah abang jamil)
- Tunggakan dividen 700k - rm106,166.65 (7 bulan)
- tunggakan dividen 300k - 45,500 (7 bulan)
- Jumlah caj lewat akan update semula
- Total (tanpa caj lewat) rm 1,151,655.65</text>
  </threadedComment>
  <threadedComment ref="M14" dT="2025-11-17T03:47:59.62" personId="{EF28314D-AA10-4C8E-AFCF-1B3DCC222010}" id="{FCF58F35-C333-4BC9-8C38-CAD13C40B921}" parentId="{D0F9DECC-137E-431F-9C79-2741E0CCF9FF}">
    <text>12.11.2025 - 3:30 PTG 
-	300K 
- rumah dah siap, pembeli dah ada, lawyer serah post dated cek tarikh 15/1/2026 berjumlah rm 377,959.04
- by 31/12/25, duit perlu ada dalam account peminjam
- En. Hafiz akan bagi instruction bila dah boleh bank in cek tersebut
-	700K
- proceed tukar tanah lot kedai KT bypass bukit bayas, lot tanah jalan semarak &amp; sebuah semi D ke atas nama MD
- En hafiz akan update pada hujung bulan 11/2025 untuk arrangement date signing
- 15/12/2025, ke pejabat tanah untuk signing borang 14A &amp; prepare kos untuk pertukaran nama
- Total nilaian aset cagaran lebih kurang 1 juta</text>
  </threadedComment>
  <threadedComment ref="M14" dT="2026-02-25T03:35:25.38" personId="{EF28314D-AA10-4C8E-AFCF-1B3DCC222010}" id="{EB0ECB72-00B2-4D3B-9062-7728A3494FB2}" parentId="{D0F9DECC-137E-431F-9C79-2741E0CCF9FF}">
    <text>25.02.2025 - 
300K. 
received cheque date 15/1/2026 377,959.04.. 300k modal + 77959.04 caj lewat bayar
SELESAI
700K. 
Proceed lock cagaran</text>
  </threadedComment>
  <threadedComment ref="M14" dT="2026-03-02T08:27:36.76" personId="{EF28314D-AA10-4C8E-AFCF-1B3DCC222010}" id="{81A5AA69-C191-4A86-AB0F-83DA2E4C216B}" parentId="{D0F9DECC-137E-431F-9C79-2741E0CCF9FF}">
    <text>24.02.2026
700K - untuk penyelesaian 14A ni, sy dah arrange. InsyaAllah end of March kita boleh proceed ikut file. Sy dah lock semua, Puan.
300K, 26.02.2026 = cheque return, akan feedback 03.03.2026</text>
  </threadedComment>
</ThreadedComments>
</file>

<file path=xl/threadedComments/threadedComment2.xml><?xml version="1.0" encoding="utf-8"?>
<ThreadedComments xmlns="http://schemas.microsoft.com/office/spreadsheetml/2018/threadedcomments" xmlns:x="http://schemas.openxmlformats.org/spreadsheetml/2006/main">
  <threadedComment ref="I10" dT="2024-01-02T02:33:11.68" personId="{F0F0CDFE-220F-4F60-8453-A43850D3C358}" id="{826EF933-9B12-4456-9B92-1C4327A533C2}">
    <text>Notis supaya mengambil suratan hakmilik yang dikeluarkan</text>
  </threadedComment>
  <threadedComment ref="M15" dT="2025-10-13T06:31:52.77" personId="{EF28314D-AA10-4C8E-AFCF-1B3DCC222010}" id="{5B3E49DE-BDA5-4BF6-A92C-F122943556A8}">
    <text>03.08.2025 - PAYMENT JUALAN RUMAH RECEIVED 340K UNTUK SEBUAH RUMAH. MD BENARAN EN FIRDAUS GUNA DAHULU SEMENTARA PAYMENT LAIN MASUK</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135"/>
  </sheetPr>
  <dimension ref="A1:Z1000"/>
  <sheetViews>
    <sheetView view="pageBreakPreview" zoomScale="40" zoomScaleNormal="40" zoomScaleSheetLayoutView="40" workbookViewId="0">
      <pane ySplit="5" topLeftCell="A9" activePane="bottomLeft" state="frozen"/>
      <selection pane="bottomLeft" activeCell="G14" sqref="G14"/>
    </sheetView>
  </sheetViews>
  <sheetFormatPr defaultColWidth="14.453125" defaultRowHeight="15" customHeight="1" x14ac:dyDescent="0.35"/>
  <cols>
    <col min="1" max="1" width="6" customWidth="1"/>
    <col min="2" max="2" width="39.453125" customWidth="1"/>
    <col min="3" max="3" width="31.453125" customWidth="1"/>
    <col min="4" max="4" width="31.54296875" customWidth="1"/>
    <col min="5" max="5" width="47.81640625" customWidth="1"/>
    <col min="6" max="8" width="29.7265625" customWidth="1"/>
    <col min="9" max="9" width="27.81640625" customWidth="1"/>
    <col min="10" max="10" width="56.453125" customWidth="1"/>
    <col min="11" max="11" width="36.81640625" customWidth="1"/>
    <col min="12" max="12" width="48.54296875" customWidth="1"/>
    <col min="13" max="13" width="68.26953125" customWidth="1"/>
    <col min="14" max="26" width="8.7265625" customWidth="1"/>
  </cols>
  <sheetData>
    <row r="1" spans="1:26" ht="23.5" x14ac:dyDescent="0.55000000000000004">
      <c r="A1" s="1"/>
      <c r="B1" s="1"/>
      <c r="C1" s="1"/>
      <c r="D1" s="1"/>
      <c r="E1" s="1"/>
      <c r="F1" s="1"/>
      <c r="G1" s="1"/>
      <c r="H1" s="1"/>
      <c r="I1" s="1"/>
      <c r="J1" s="1"/>
      <c r="K1" s="1"/>
      <c r="L1" s="1"/>
      <c r="M1" s="1"/>
      <c r="N1" s="2"/>
      <c r="O1" s="2"/>
      <c r="P1" s="2"/>
      <c r="Q1" s="2"/>
      <c r="R1" s="2"/>
      <c r="S1" s="2"/>
      <c r="T1" s="2"/>
      <c r="U1" s="2"/>
      <c r="V1" s="2"/>
      <c r="W1" s="2"/>
      <c r="X1" s="2"/>
      <c r="Y1" s="2"/>
      <c r="Z1" s="2"/>
    </row>
    <row r="2" spans="1:26" ht="61.5" x14ac:dyDescent="1.35">
      <c r="A2" s="132" t="s">
        <v>73</v>
      </c>
      <c r="B2" s="127"/>
      <c r="C2" s="127"/>
      <c r="D2" s="127"/>
      <c r="E2" s="127"/>
      <c r="F2" s="127"/>
      <c r="G2" s="127"/>
      <c r="H2" s="127"/>
      <c r="I2" s="127"/>
      <c r="J2" s="127"/>
      <c r="K2" s="127"/>
      <c r="L2" s="127"/>
      <c r="M2" s="127"/>
      <c r="N2" s="2"/>
      <c r="O2" s="2"/>
      <c r="P2" s="2"/>
      <c r="Q2" s="2"/>
      <c r="R2" s="2"/>
      <c r="S2" s="2"/>
      <c r="T2" s="2"/>
      <c r="U2" s="2"/>
      <c r="V2" s="2"/>
      <c r="W2" s="2"/>
      <c r="X2" s="2"/>
      <c r="Y2" s="2"/>
      <c r="Z2" s="2"/>
    </row>
    <row r="3" spans="1:26" ht="28.5" x14ac:dyDescent="0.65">
      <c r="A3" s="18"/>
      <c r="B3" s="18"/>
      <c r="C3" s="18"/>
      <c r="D3" s="18"/>
      <c r="E3" s="18"/>
      <c r="F3" s="18"/>
      <c r="G3" s="18"/>
      <c r="H3" s="18"/>
      <c r="I3" s="18"/>
      <c r="J3" s="18"/>
      <c r="K3" s="19"/>
      <c r="L3" s="19"/>
      <c r="M3" s="43" t="s">
        <v>197</v>
      </c>
      <c r="N3" s="2"/>
      <c r="O3" s="2"/>
      <c r="P3" s="2"/>
      <c r="Q3" s="2"/>
      <c r="R3" s="2"/>
      <c r="S3" s="2"/>
      <c r="T3" s="2"/>
      <c r="U3" s="2"/>
      <c r="V3" s="2"/>
      <c r="W3" s="2"/>
      <c r="X3" s="2"/>
      <c r="Y3" s="2"/>
      <c r="Z3" s="2"/>
    </row>
    <row r="4" spans="1:26" ht="28.5" customHeight="1" x14ac:dyDescent="0.35">
      <c r="A4" s="119" t="s">
        <v>1</v>
      </c>
      <c r="B4" s="128" t="s">
        <v>154</v>
      </c>
      <c r="C4" s="129"/>
      <c r="D4" s="129"/>
      <c r="E4" s="130"/>
      <c r="F4" s="128" t="s">
        <v>45</v>
      </c>
      <c r="G4" s="129"/>
      <c r="H4" s="129"/>
      <c r="I4" s="130"/>
      <c r="J4" s="131" t="s">
        <v>74</v>
      </c>
      <c r="K4" s="129"/>
      <c r="L4" s="130"/>
      <c r="M4" s="119" t="s">
        <v>3</v>
      </c>
      <c r="N4" s="44"/>
      <c r="O4" s="44"/>
      <c r="P4" s="44"/>
      <c r="Q4" s="44"/>
      <c r="R4" s="44"/>
      <c r="S4" s="44"/>
      <c r="T4" s="44"/>
      <c r="U4" s="44"/>
      <c r="V4" s="44"/>
      <c r="W4" s="44"/>
      <c r="X4" s="44"/>
      <c r="Y4" s="44"/>
      <c r="Z4" s="44"/>
    </row>
    <row r="5" spans="1:26" ht="114" customHeight="1" x14ac:dyDescent="0.35">
      <c r="A5" s="125"/>
      <c r="B5" s="22" t="s">
        <v>153</v>
      </c>
      <c r="C5" s="22" t="s">
        <v>4</v>
      </c>
      <c r="D5" s="22" t="s">
        <v>156</v>
      </c>
      <c r="E5" s="23" t="s">
        <v>75</v>
      </c>
      <c r="F5" s="22" t="s">
        <v>76</v>
      </c>
      <c r="G5" s="22" t="s">
        <v>77</v>
      </c>
      <c r="H5" s="22" t="s">
        <v>50</v>
      </c>
      <c r="I5" s="22" t="s">
        <v>78</v>
      </c>
      <c r="J5" s="22" t="s">
        <v>79</v>
      </c>
      <c r="K5" s="23" t="s">
        <v>8</v>
      </c>
      <c r="L5" s="24" t="s">
        <v>9</v>
      </c>
      <c r="M5" s="125"/>
      <c r="N5" s="44"/>
      <c r="O5" s="44"/>
      <c r="P5" s="44"/>
      <c r="Q5" s="44"/>
      <c r="R5" s="44"/>
      <c r="S5" s="44"/>
      <c r="T5" s="44"/>
      <c r="U5" s="44"/>
      <c r="V5" s="44"/>
      <c r="W5" s="44"/>
      <c r="X5" s="44"/>
      <c r="Y5" s="44"/>
      <c r="Z5" s="44"/>
    </row>
    <row r="6" spans="1:26" ht="352.5" x14ac:dyDescent="0.35">
      <c r="A6" s="45">
        <v>1</v>
      </c>
      <c r="B6" s="8" t="s">
        <v>80</v>
      </c>
      <c r="C6" s="8" t="s">
        <v>81</v>
      </c>
      <c r="D6" s="9">
        <v>300000</v>
      </c>
      <c r="E6" s="9" t="s">
        <v>82</v>
      </c>
      <c r="F6" s="9">
        <v>13500</v>
      </c>
      <c r="G6" s="9" t="s">
        <v>191</v>
      </c>
      <c r="H6" s="9" t="s">
        <v>83</v>
      </c>
      <c r="I6" s="9">
        <f>+D6+F6</f>
        <v>313500</v>
      </c>
      <c r="J6" s="8" t="s">
        <v>83</v>
      </c>
      <c r="K6" s="46" t="s">
        <v>84</v>
      </c>
      <c r="L6" s="25" t="s">
        <v>84</v>
      </c>
      <c r="M6" s="105" t="s">
        <v>192</v>
      </c>
      <c r="N6" s="47"/>
      <c r="O6" s="47"/>
      <c r="P6" s="47"/>
      <c r="Q6" s="47"/>
      <c r="R6" s="47"/>
      <c r="S6" s="47"/>
      <c r="T6" s="47"/>
      <c r="U6" s="47"/>
      <c r="V6" s="47"/>
      <c r="W6" s="47"/>
      <c r="X6" s="47"/>
      <c r="Y6" s="47"/>
      <c r="Z6" s="47"/>
    </row>
    <row r="7" spans="1:26" ht="233.25" customHeight="1" x14ac:dyDescent="0.35">
      <c r="A7" s="45">
        <v>2</v>
      </c>
      <c r="B7" s="8" t="s">
        <v>85</v>
      </c>
      <c r="C7" s="8" t="s">
        <v>86</v>
      </c>
      <c r="D7" s="9">
        <v>500000</v>
      </c>
      <c r="E7" s="9" t="s">
        <v>87</v>
      </c>
      <c r="F7" s="9">
        <v>80000</v>
      </c>
      <c r="G7" s="9">
        <v>25000</v>
      </c>
      <c r="H7" s="9">
        <v>60000</v>
      </c>
      <c r="I7" s="9">
        <f>+D7+F7+G7+H7</f>
        <v>665000</v>
      </c>
      <c r="J7" s="8" t="s">
        <v>88</v>
      </c>
      <c r="K7" s="39" t="s">
        <v>89</v>
      </c>
      <c r="L7" s="8" t="s">
        <v>90</v>
      </c>
      <c r="M7" s="48" t="s">
        <v>91</v>
      </c>
      <c r="N7" s="47"/>
      <c r="O7" s="47"/>
      <c r="P7" s="47"/>
      <c r="Q7" s="47"/>
      <c r="R7" s="47"/>
      <c r="S7" s="47"/>
      <c r="T7" s="47"/>
      <c r="U7" s="47"/>
      <c r="V7" s="47"/>
      <c r="W7" s="47"/>
      <c r="X7" s="47"/>
      <c r="Y7" s="47"/>
      <c r="Z7" s="47"/>
    </row>
    <row r="8" spans="1:26" ht="74.150000000000006" customHeight="1" x14ac:dyDescent="0.35">
      <c r="A8" s="133">
        <v>3</v>
      </c>
      <c r="B8" s="8" t="s">
        <v>92</v>
      </c>
      <c r="C8" s="134" t="s">
        <v>93</v>
      </c>
      <c r="D8" s="49" t="s">
        <v>94</v>
      </c>
      <c r="E8" s="135" t="s">
        <v>95</v>
      </c>
      <c r="F8" s="135">
        <v>175000</v>
      </c>
      <c r="G8" s="138">
        <v>23301.37</v>
      </c>
      <c r="H8" s="138">
        <v>393505.48</v>
      </c>
      <c r="I8" s="138">
        <f>+D8+D9+D10+F8+F10+G8+H8+G10</f>
        <v>2500000</v>
      </c>
      <c r="J8" s="124" t="s">
        <v>96</v>
      </c>
      <c r="K8" s="139" t="s">
        <v>97</v>
      </c>
      <c r="L8" s="136" t="s">
        <v>189</v>
      </c>
      <c r="M8" s="137" t="s">
        <v>194</v>
      </c>
      <c r="N8" s="47"/>
      <c r="O8" s="47"/>
      <c r="P8" s="47"/>
      <c r="Q8" s="47"/>
      <c r="R8" s="47"/>
      <c r="S8" s="47"/>
      <c r="T8" s="47"/>
      <c r="U8" s="47"/>
      <c r="V8" s="47"/>
      <c r="W8" s="47"/>
      <c r="X8" s="47"/>
      <c r="Y8" s="47"/>
      <c r="Z8" s="47"/>
    </row>
    <row r="9" spans="1:26" ht="102" customHeight="1" x14ac:dyDescent="0.35">
      <c r="A9" s="120"/>
      <c r="B9" s="8" t="s">
        <v>98</v>
      </c>
      <c r="C9" s="120"/>
      <c r="D9" s="9">
        <v>600000</v>
      </c>
      <c r="E9" s="125"/>
      <c r="F9" s="125"/>
      <c r="G9" s="125"/>
      <c r="H9" s="120"/>
      <c r="I9" s="120"/>
      <c r="J9" s="120"/>
      <c r="K9" s="120"/>
      <c r="L9" s="120"/>
      <c r="M9" s="120"/>
      <c r="N9" s="47"/>
      <c r="O9" s="47"/>
      <c r="P9" s="47"/>
      <c r="Q9" s="47"/>
      <c r="R9" s="47"/>
      <c r="S9" s="47"/>
      <c r="T9" s="47"/>
      <c r="U9" s="47"/>
      <c r="V9" s="47"/>
      <c r="W9" s="47"/>
      <c r="X9" s="47"/>
      <c r="Y9" s="47"/>
      <c r="Z9" s="47"/>
    </row>
    <row r="10" spans="1:26" ht="131.15" customHeight="1" x14ac:dyDescent="0.35">
      <c r="A10" s="125"/>
      <c r="B10" s="8" t="s">
        <v>18</v>
      </c>
      <c r="C10" s="125"/>
      <c r="D10" s="9">
        <v>600000</v>
      </c>
      <c r="E10" s="9" t="s">
        <v>99</v>
      </c>
      <c r="F10" s="9">
        <v>90000</v>
      </c>
      <c r="G10" s="50">
        <v>18193.150000000001</v>
      </c>
      <c r="H10" s="125"/>
      <c r="I10" s="125"/>
      <c r="J10" s="125"/>
      <c r="K10" s="125"/>
      <c r="L10" s="125"/>
      <c r="M10" s="125"/>
      <c r="N10" s="47"/>
      <c r="O10" s="47"/>
      <c r="P10" s="47"/>
      <c r="Q10" s="47"/>
      <c r="R10" s="47"/>
      <c r="S10" s="47"/>
      <c r="T10" s="47"/>
      <c r="U10" s="47"/>
      <c r="V10" s="47"/>
      <c r="W10" s="47"/>
      <c r="X10" s="47"/>
      <c r="Y10" s="47"/>
      <c r="Z10" s="47"/>
    </row>
    <row r="11" spans="1:26" ht="213" customHeight="1" x14ac:dyDescent="0.35">
      <c r="A11" s="45">
        <v>4</v>
      </c>
      <c r="B11" s="8" t="s">
        <v>68</v>
      </c>
      <c r="C11" s="15" t="s">
        <v>93</v>
      </c>
      <c r="D11" s="38">
        <v>500000</v>
      </c>
      <c r="E11" s="8" t="s">
        <v>100</v>
      </c>
      <c r="F11" s="9">
        <v>150120</v>
      </c>
      <c r="G11" s="38">
        <v>200219.41</v>
      </c>
      <c r="H11" s="8">
        <v>0</v>
      </c>
      <c r="I11" s="9">
        <f>D11+F11+G11+H11</f>
        <v>850339.41</v>
      </c>
      <c r="J11" s="8" t="s">
        <v>101</v>
      </c>
      <c r="K11" s="51"/>
      <c r="L11" s="25"/>
      <c r="M11" s="52" t="s">
        <v>193</v>
      </c>
      <c r="N11" s="47"/>
      <c r="O11" s="47"/>
      <c r="P11" s="47"/>
      <c r="Q11" s="47"/>
      <c r="R11" s="47"/>
      <c r="S11" s="47"/>
      <c r="T11" s="47"/>
      <c r="U11" s="47"/>
      <c r="V11" s="47"/>
      <c r="W11" s="47"/>
      <c r="X11" s="47"/>
      <c r="Y11" s="47"/>
      <c r="Z11" s="47"/>
    </row>
    <row r="12" spans="1:26" ht="370.5" x14ac:dyDescent="0.35">
      <c r="A12" s="45">
        <v>5</v>
      </c>
      <c r="B12" s="8" t="s">
        <v>66</v>
      </c>
      <c r="C12" s="15" t="s">
        <v>102</v>
      </c>
      <c r="D12" s="38">
        <v>650000</v>
      </c>
      <c r="E12" s="8" t="s">
        <v>103</v>
      </c>
      <c r="F12" s="8">
        <v>0</v>
      </c>
      <c r="G12" s="8">
        <v>0</v>
      </c>
      <c r="H12" s="8">
        <v>0</v>
      </c>
      <c r="I12" s="38">
        <f>D12</f>
        <v>650000</v>
      </c>
      <c r="J12" s="8" t="s">
        <v>104</v>
      </c>
      <c r="K12" s="39" t="s">
        <v>89</v>
      </c>
      <c r="L12" s="55" t="s">
        <v>109</v>
      </c>
      <c r="M12" s="53" t="s">
        <v>195</v>
      </c>
      <c r="N12" s="47"/>
      <c r="O12" s="47"/>
      <c r="P12" s="47"/>
      <c r="Q12" s="47"/>
      <c r="R12" s="47"/>
      <c r="S12" s="47"/>
      <c r="T12" s="47"/>
      <c r="U12" s="47"/>
      <c r="V12" s="47"/>
      <c r="W12" s="47"/>
      <c r="X12" s="47"/>
      <c r="Y12" s="47"/>
      <c r="Z12" s="47"/>
    </row>
    <row r="13" spans="1:26" ht="342" x14ac:dyDescent="0.35">
      <c r="A13" s="45">
        <v>6</v>
      </c>
      <c r="B13" s="8" t="s">
        <v>105</v>
      </c>
      <c r="C13" s="15" t="s">
        <v>106</v>
      </c>
      <c r="D13" s="9">
        <v>250000</v>
      </c>
      <c r="E13" s="8" t="s">
        <v>107</v>
      </c>
      <c r="F13" s="38">
        <v>59584</v>
      </c>
      <c r="G13" s="38">
        <v>11449.28</v>
      </c>
      <c r="H13" s="8">
        <v>0</v>
      </c>
      <c r="I13" s="38">
        <f>D13+F13+G13+H13</f>
        <v>321033.28000000003</v>
      </c>
      <c r="J13" s="8" t="s">
        <v>215</v>
      </c>
      <c r="K13" s="54" t="s">
        <v>108</v>
      </c>
      <c r="L13" s="55" t="s">
        <v>109</v>
      </c>
      <c r="M13" s="40" t="s">
        <v>196</v>
      </c>
      <c r="N13" s="47"/>
      <c r="O13" s="47"/>
      <c r="P13" s="47"/>
      <c r="Q13" s="47"/>
      <c r="R13" s="47"/>
      <c r="S13" s="47"/>
      <c r="T13" s="47"/>
      <c r="U13" s="47"/>
      <c r="V13" s="47"/>
      <c r="W13" s="47"/>
      <c r="X13" s="47"/>
      <c r="Y13" s="47"/>
      <c r="Z13" s="47"/>
    </row>
    <row r="14" spans="1:26" ht="142.5" x14ac:dyDescent="0.35">
      <c r="A14" s="133">
        <v>7</v>
      </c>
      <c r="B14" s="8" t="s">
        <v>68</v>
      </c>
      <c r="C14" s="134" t="s">
        <v>93</v>
      </c>
      <c r="D14" s="9">
        <v>700000</v>
      </c>
      <c r="E14" s="8" t="s">
        <v>110</v>
      </c>
      <c r="F14" s="38">
        <v>106166.65</v>
      </c>
      <c r="G14" s="106"/>
      <c r="H14" s="8">
        <v>0</v>
      </c>
      <c r="I14" s="9">
        <f t="shared" ref="I14:I15" si="0">D14</f>
        <v>700000</v>
      </c>
      <c r="J14" s="8" t="s">
        <v>111</v>
      </c>
      <c r="K14" s="54" t="s">
        <v>108</v>
      </c>
      <c r="L14" s="8" t="s">
        <v>216</v>
      </c>
      <c r="M14" s="137" t="s">
        <v>152</v>
      </c>
      <c r="N14" s="47"/>
      <c r="O14" s="47"/>
      <c r="P14" s="47"/>
      <c r="Q14" s="47"/>
      <c r="R14" s="47"/>
      <c r="S14" s="47"/>
      <c r="T14" s="47"/>
      <c r="U14" s="47"/>
      <c r="V14" s="47"/>
      <c r="W14" s="47"/>
      <c r="X14" s="47"/>
      <c r="Y14" s="47"/>
      <c r="Z14" s="47"/>
    </row>
    <row r="15" spans="1:26" ht="87" customHeight="1" x14ac:dyDescent="0.35">
      <c r="A15" s="125"/>
      <c r="B15" s="8" t="s">
        <v>105</v>
      </c>
      <c r="C15" s="125"/>
      <c r="D15" s="9">
        <v>300000</v>
      </c>
      <c r="E15" s="8" t="s">
        <v>112</v>
      </c>
      <c r="F15" s="9">
        <v>45500</v>
      </c>
      <c r="G15" s="106"/>
      <c r="H15" s="8">
        <v>0</v>
      </c>
      <c r="I15" s="9">
        <f t="shared" si="0"/>
        <v>300000</v>
      </c>
      <c r="J15" s="8" t="s">
        <v>113</v>
      </c>
      <c r="K15" s="107"/>
      <c r="L15" s="108"/>
      <c r="M15" s="125"/>
      <c r="N15" s="29"/>
      <c r="O15" s="29"/>
      <c r="P15" s="29"/>
      <c r="Q15" s="29"/>
      <c r="R15" s="29"/>
      <c r="S15" s="29"/>
      <c r="T15" s="29"/>
      <c r="U15" s="29"/>
      <c r="V15" s="29"/>
      <c r="W15" s="29"/>
      <c r="X15" s="29"/>
      <c r="Y15" s="29"/>
      <c r="Z15" s="29"/>
    </row>
    <row r="16" spans="1:26" ht="109.5" customHeight="1" x14ac:dyDescent="0.35">
      <c r="A16" s="3"/>
      <c r="B16" s="56"/>
      <c r="C16" s="56"/>
      <c r="D16" s="56"/>
      <c r="E16" s="56"/>
      <c r="F16" s="56"/>
      <c r="G16" s="56"/>
      <c r="H16" s="56"/>
      <c r="I16" s="56"/>
      <c r="J16" s="56"/>
      <c r="K16" s="57"/>
      <c r="L16" s="7"/>
      <c r="M16" s="58"/>
      <c r="N16" s="2"/>
      <c r="O16" s="2"/>
      <c r="P16" s="2"/>
      <c r="Q16" s="2"/>
      <c r="R16" s="2"/>
      <c r="S16" s="2"/>
      <c r="T16" s="2"/>
      <c r="U16" s="2"/>
      <c r="V16" s="2"/>
      <c r="W16" s="2"/>
      <c r="X16" s="2"/>
      <c r="Y16" s="2"/>
      <c r="Z16" s="2"/>
    </row>
    <row r="17" spans="1:26" ht="35.25" customHeight="1" x14ac:dyDescent="0.65">
      <c r="A17" s="18"/>
      <c r="B17" s="59"/>
      <c r="C17" s="59"/>
      <c r="D17" s="59"/>
      <c r="E17" s="59"/>
      <c r="F17" s="59"/>
      <c r="G17" s="59"/>
      <c r="H17" s="59"/>
      <c r="I17" s="59"/>
      <c r="J17" s="59"/>
      <c r="K17" s="60"/>
      <c r="L17" s="59"/>
      <c r="M17" s="59"/>
      <c r="N17" s="21"/>
      <c r="O17" s="21"/>
      <c r="P17" s="21"/>
      <c r="Q17" s="21"/>
      <c r="R17" s="21"/>
      <c r="S17" s="21"/>
      <c r="T17" s="21"/>
      <c r="U17" s="21"/>
      <c r="V17" s="21"/>
      <c r="W17" s="21"/>
      <c r="X17" s="21"/>
      <c r="Y17" s="21"/>
      <c r="Z17" s="21"/>
    </row>
    <row r="18" spans="1:26" ht="23.5" x14ac:dyDescent="0.55000000000000004">
      <c r="A18" s="61"/>
      <c r="B18" s="62"/>
      <c r="C18" s="62"/>
      <c r="D18" s="62"/>
      <c r="E18" s="62"/>
      <c r="F18" s="62"/>
      <c r="G18" s="62"/>
      <c r="H18" s="62"/>
      <c r="I18" s="62"/>
      <c r="J18" s="62"/>
      <c r="K18" s="63"/>
      <c r="L18" s="62"/>
      <c r="M18" s="62"/>
      <c r="N18" s="21"/>
      <c r="O18" s="21"/>
      <c r="P18" s="21"/>
      <c r="Q18" s="21"/>
      <c r="R18" s="21"/>
      <c r="S18" s="21"/>
      <c r="T18" s="21"/>
      <c r="U18" s="21"/>
      <c r="V18" s="21"/>
      <c r="W18" s="21"/>
      <c r="X18" s="21"/>
      <c r="Y18" s="21"/>
      <c r="Z18" s="21"/>
    </row>
    <row r="19" spans="1:26" ht="23.5" x14ac:dyDescent="0.55000000000000004">
      <c r="A19" s="61"/>
      <c r="B19" s="62"/>
      <c r="C19" s="62"/>
      <c r="D19" s="62"/>
      <c r="E19" s="62"/>
      <c r="F19" s="62"/>
      <c r="G19" s="62"/>
      <c r="H19" s="62"/>
      <c r="I19" s="62"/>
      <c r="J19" s="62"/>
      <c r="K19" s="63"/>
      <c r="L19" s="62"/>
      <c r="M19" s="62"/>
      <c r="N19" s="21"/>
      <c r="O19" s="21"/>
      <c r="P19" s="21"/>
      <c r="Q19" s="21"/>
      <c r="R19" s="21"/>
      <c r="S19" s="21"/>
      <c r="T19" s="21"/>
      <c r="U19" s="21"/>
      <c r="V19" s="21"/>
      <c r="W19" s="21"/>
      <c r="X19" s="21"/>
      <c r="Y19" s="21"/>
      <c r="Z19" s="21"/>
    </row>
    <row r="20" spans="1:26" ht="27.75" customHeight="1" x14ac:dyDescent="0.55000000000000004">
      <c r="A20" s="61"/>
      <c r="B20" s="61"/>
      <c r="C20" s="61"/>
      <c r="D20" s="61"/>
      <c r="E20" s="61"/>
      <c r="F20" s="61"/>
      <c r="G20" s="61"/>
      <c r="H20" s="61"/>
      <c r="I20" s="61"/>
      <c r="J20" s="61"/>
      <c r="K20" s="61"/>
      <c r="L20" s="64"/>
      <c r="M20" s="61"/>
      <c r="N20" s="2"/>
      <c r="O20" s="2"/>
      <c r="P20" s="2"/>
      <c r="Q20" s="2"/>
      <c r="R20" s="2"/>
      <c r="S20" s="2"/>
      <c r="T20" s="2"/>
      <c r="U20" s="2"/>
      <c r="V20" s="2"/>
      <c r="W20" s="2"/>
      <c r="X20" s="2"/>
      <c r="Y20" s="2"/>
      <c r="Z20" s="2"/>
    </row>
    <row r="21" spans="1:26" ht="15.75" customHeight="1" x14ac:dyDescent="0.35">
      <c r="A21" s="2"/>
      <c r="B21" s="2"/>
      <c r="C21" s="2"/>
      <c r="D21" s="2"/>
      <c r="E21" s="2"/>
      <c r="F21" s="2"/>
      <c r="G21" s="2"/>
      <c r="H21" s="2"/>
      <c r="I21" s="2"/>
      <c r="J21" s="2"/>
      <c r="K21" s="2"/>
      <c r="L21" s="65"/>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66"/>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20">
    <mergeCell ref="A14:A15"/>
    <mergeCell ref="C14:C15"/>
    <mergeCell ref="F8:F9"/>
    <mergeCell ref="L8:L10"/>
    <mergeCell ref="M8:M10"/>
    <mergeCell ref="M14:M15"/>
    <mergeCell ref="A8:A10"/>
    <mergeCell ref="G8:G9"/>
    <mergeCell ref="H8:H10"/>
    <mergeCell ref="I8:I10"/>
    <mergeCell ref="J8:J10"/>
    <mergeCell ref="K8:K10"/>
    <mergeCell ref="C8:C10"/>
    <mergeCell ref="E8:E9"/>
    <mergeCell ref="A2:M2"/>
    <mergeCell ref="A4:A5"/>
    <mergeCell ref="B4:E4"/>
    <mergeCell ref="F4:I4"/>
    <mergeCell ref="J4:L4"/>
    <mergeCell ref="M4:M5"/>
  </mergeCells>
  <printOptions horizontalCentered="1"/>
  <pageMargins left="0.39370078740157483" right="0.52943333571013851" top="0.74803149606299213" bottom="0.59055118110236227" header="0" footer="0"/>
  <pageSetup paperSize="9" scale="27" orientation="landscape" r:id="rId1"/>
  <rowBreaks count="1" manualBreakCount="1">
    <brk id="11" max="12" man="1"/>
  </rowBreaks>
  <colBreaks count="2" manualBreakCount="2">
    <brk man="1"/>
    <brk id="14" max="1048575"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135"/>
    <pageSetUpPr fitToPage="1"/>
  </sheetPr>
  <dimension ref="A1:AD994"/>
  <sheetViews>
    <sheetView tabSelected="1" view="pageBreakPreview" zoomScale="40" zoomScaleNormal="39" zoomScaleSheetLayoutView="40" workbookViewId="0">
      <pane ySplit="5" topLeftCell="A11" activePane="bottomLeft" state="frozen"/>
      <selection pane="bottomLeft" activeCell="K10" sqref="K10:K13"/>
    </sheetView>
  </sheetViews>
  <sheetFormatPr defaultColWidth="14.453125" defaultRowHeight="15" customHeight="1" x14ac:dyDescent="0.35"/>
  <cols>
    <col min="1" max="1" width="8.81640625" customWidth="1"/>
    <col min="2" max="2" width="39.453125" customWidth="1"/>
    <col min="3" max="5" width="36.7265625" customWidth="1"/>
    <col min="6" max="8" width="30.7265625" customWidth="1"/>
    <col min="9" max="9" width="45.54296875" customWidth="1"/>
    <col min="10" max="10" width="40.26953125" customWidth="1"/>
    <col min="11" max="11" width="50.1796875" customWidth="1"/>
    <col min="12" max="12" width="39.1796875" customWidth="1"/>
    <col min="13" max="13" width="102.26953125" customWidth="1"/>
    <col min="14" max="14" width="12.1796875" customWidth="1"/>
    <col min="15" max="30" width="8.7265625" customWidth="1"/>
  </cols>
  <sheetData>
    <row r="1" spans="1:30" ht="23.5" x14ac:dyDescent="0.55000000000000004">
      <c r="A1" s="1"/>
      <c r="B1" s="1"/>
      <c r="C1" s="1"/>
      <c r="D1" s="1"/>
      <c r="E1" s="1"/>
      <c r="F1" s="1"/>
      <c r="G1" s="1"/>
      <c r="H1" s="1"/>
      <c r="I1" s="1"/>
      <c r="J1" s="1"/>
      <c r="K1" s="1"/>
      <c r="L1" s="1"/>
      <c r="M1" s="1"/>
      <c r="N1" s="2"/>
      <c r="O1" s="2"/>
      <c r="P1" s="2"/>
      <c r="Q1" s="2"/>
      <c r="R1" s="2"/>
      <c r="S1" s="2"/>
      <c r="T1" s="2"/>
      <c r="U1" s="2"/>
      <c r="V1" s="2"/>
      <c r="W1" s="2"/>
      <c r="X1" s="2"/>
      <c r="Y1" s="2"/>
      <c r="Z1" s="2"/>
      <c r="AA1" s="2"/>
      <c r="AB1" s="2"/>
      <c r="AC1" s="2"/>
      <c r="AD1" s="2"/>
    </row>
    <row r="2" spans="1:30" ht="61.5" x14ac:dyDescent="1.35">
      <c r="A2" s="132" t="s">
        <v>44</v>
      </c>
      <c r="B2" s="127"/>
      <c r="C2" s="127"/>
      <c r="D2" s="127"/>
      <c r="E2" s="127"/>
      <c r="F2" s="127"/>
      <c r="G2" s="127"/>
      <c r="H2" s="127"/>
      <c r="I2" s="127"/>
      <c r="J2" s="127"/>
      <c r="K2" s="127"/>
      <c r="L2" s="127"/>
      <c r="M2" s="127"/>
      <c r="N2" s="2"/>
      <c r="O2" s="2"/>
      <c r="P2" s="2"/>
      <c r="Q2" s="2"/>
      <c r="R2" s="2"/>
      <c r="S2" s="2"/>
      <c r="T2" s="2"/>
      <c r="U2" s="2"/>
      <c r="V2" s="2"/>
      <c r="W2" s="2"/>
      <c r="X2" s="2"/>
      <c r="Y2" s="2"/>
      <c r="Z2" s="2"/>
      <c r="AA2" s="2"/>
      <c r="AB2" s="2"/>
      <c r="AC2" s="2"/>
      <c r="AD2" s="2"/>
    </row>
    <row r="3" spans="1:30" ht="28.5" x14ac:dyDescent="0.65">
      <c r="A3" s="18"/>
      <c r="B3" s="18"/>
      <c r="C3" s="18"/>
      <c r="D3" s="18"/>
      <c r="E3" s="18"/>
      <c r="F3" s="18"/>
      <c r="G3" s="18"/>
      <c r="H3" s="18"/>
      <c r="I3" s="18"/>
      <c r="J3" s="19"/>
      <c r="K3" s="19"/>
      <c r="L3" s="19"/>
      <c r="M3" s="20" t="s">
        <v>217</v>
      </c>
      <c r="N3" s="2"/>
      <c r="O3" s="2"/>
      <c r="P3" s="2"/>
      <c r="Q3" s="2"/>
      <c r="R3" s="2"/>
      <c r="S3" s="2"/>
      <c r="T3" s="2"/>
      <c r="U3" s="2"/>
      <c r="V3" s="2"/>
      <c r="W3" s="2"/>
      <c r="X3" s="2"/>
      <c r="Y3" s="2"/>
      <c r="Z3" s="2"/>
      <c r="AA3" s="2"/>
      <c r="AB3" s="2"/>
      <c r="AC3" s="2"/>
      <c r="AD3" s="2"/>
    </row>
    <row r="4" spans="1:30" ht="28.5" customHeight="1" x14ac:dyDescent="0.35">
      <c r="A4" s="119" t="s">
        <v>1</v>
      </c>
      <c r="B4" s="128" t="s">
        <v>154</v>
      </c>
      <c r="C4" s="129"/>
      <c r="D4" s="129"/>
      <c r="E4" s="130"/>
      <c r="F4" s="128" t="s">
        <v>45</v>
      </c>
      <c r="G4" s="131"/>
      <c r="H4" s="155"/>
      <c r="I4" s="131" t="s">
        <v>46</v>
      </c>
      <c r="J4" s="129"/>
      <c r="K4" s="130"/>
      <c r="L4" s="152" t="s">
        <v>47</v>
      </c>
      <c r="M4" s="119" t="s">
        <v>3</v>
      </c>
      <c r="N4" s="21"/>
      <c r="O4" s="21"/>
      <c r="P4" s="21"/>
      <c r="Q4" s="21"/>
      <c r="R4" s="21"/>
      <c r="S4" s="21"/>
      <c r="T4" s="21"/>
      <c r="U4" s="21"/>
      <c r="V4" s="21"/>
      <c r="W4" s="21"/>
      <c r="X4" s="21"/>
      <c r="Y4" s="21"/>
      <c r="Z4" s="21"/>
      <c r="AA4" s="21"/>
      <c r="AB4" s="21"/>
      <c r="AC4" s="21"/>
      <c r="AD4" s="21"/>
    </row>
    <row r="5" spans="1:30" ht="137.15" customHeight="1" x14ac:dyDescent="0.35">
      <c r="A5" s="154"/>
      <c r="B5" s="22" t="s">
        <v>153</v>
      </c>
      <c r="C5" s="22" t="s">
        <v>48</v>
      </c>
      <c r="D5" s="22" t="s">
        <v>156</v>
      </c>
      <c r="E5" s="23" t="s">
        <v>49</v>
      </c>
      <c r="F5" s="22" t="s">
        <v>187</v>
      </c>
      <c r="G5" s="22" t="s">
        <v>50</v>
      </c>
      <c r="H5" s="22" t="s">
        <v>183</v>
      </c>
      <c r="I5" s="22" t="s">
        <v>7</v>
      </c>
      <c r="J5" s="23" t="s">
        <v>8</v>
      </c>
      <c r="K5" s="24" t="s">
        <v>9</v>
      </c>
      <c r="L5" s="153"/>
      <c r="M5" s="154"/>
      <c r="N5" s="21"/>
      <c r="O5" s="21"/>
      <c r="P5" s="21"/>
      <c r="Q5" s="21"/>
      <c r="R5" s="21"/>
      <c r="S5" s="21"/>
      <c r="T5" s="21"/>
      <c r="U5" s="21"/>
      <c r="V5" s="21"/>
      <c r="W5" s="21"/>
      <c r="X5" s="21"/>
      <c r="Y5" s="21"/>
      <c r="Z5" s="21"/>
      <c r="AA5" s="21"/>
      <c r="AB5" s="21"/>
      <c r="AC5" s="21"/>
      <c r="AD5" s="21"/>
    </row>
    <row r="6" spans="1:30" ht="217.5" customHeight="1" x14ac:dyDescent="0.35">
      <c r="A6" s="25">
        <v>1</v>
      </c>
      <c r="B6" s="8" t="s">
        <v>181</v>
      </c>
      <c r="C6" s="8" t="s">
        <v>51</v>
      </c>
      <c r="D6" s="9">
        <v>130000</v>
      </c>
      <c r="E6" s="9" t="s">
        <v>184</v>
      </c>
      <c r="F6" s="88"/>
      <c r="G6" s="88"/>
      <c r="H6" s="9">
        <v>0</v>
      </c>
      <c r="I6" s="8" t="s">
        <v>52</v>
      </c>
      <c r="J6" s="26" t="s">
        <v>53</v>
      </c>
      <c r="K6" s="25" t="s">
        <v>165</v>
      </c>
      <c r="L6" s="9" t="s">
        <v>178</v>
      </c>
      <c r="M6" s="27" t="s">
        <v>180</v>
      </c>
      <c r="N6" s="28">
        <v>2018</v>
      </c>
      <c r="O6" s="28"/>
      <c r="P6" s="29"/>
      <c r="Q6" s="29"/>
      <c r="R6" s="29"/>
      <c r="S6" s="29"/>
      <c r="T6" s="29"/>
      <c r="U6" s="29"/>
      <c r="V6" s="29"/>
      <c r="W6" s="29"/>
      <c r="X6" s="29"/>
      <c r="Y6" s="29"/>
      <c r="Z6" s="29"/>
      <c r="AA6" s="29"/>
      <c r="AB6" s="29"/>
      <c r="AC6" s="29"/>
      <c r="AD6" s="29"/>
    </row>
    <row r="7" spans="1:30" ht="409.5" customHeight="1" x14ac:dyDescent="0.35">
      <c r="A7" s="25">
        <v>2</v>
      </c>
      <c r="B7" s="8" t="s">
        <v>54</v>
      </c>
      <c r="C7" s="8" t="s">
        <v>51</v>
      </c>
      <c r="D7" s="9">
        <v>176000</v>
      </c>
      <c r="E7" s="9" t="s">
        <v>185</v>
      </c>
      <c r="F7" s="98"/>
      <c r="G7" s="98"/>
      <c r="H7" s="9">
        <v>0</v>
      </c>
      <c r="I7" s="8" t="s">
        <v>55</v>
      </c>
      <c r="J7" s="26" t="s">
        <v>53</v>
      </c>
      <c r="K7" s="25" t="s">
        <v>165</v>
      </c>
      <c r="L7" s="9">
        <v>240000</v>
      </c>
      <c r="M7" s="97" t="s">
        <v>179</v>
      </c>
      <c r="N7" s="30">
        <v>2018</v>
      </c>
      <c r="O7" s="28"/>
      <c r="P7" s="29"/>
      <c r="Q7" s="29"/>
      <c r="R7" s="29"/>
      <c r="S7" s="29"/>
      <c r="T7" s="29"/>
      <c r="U7" s="29"/>
      <c r="V7" s="29"/>
      <c r="W7" s="29"/>
      <c r="X7" s="29"/>
      <c r="Y7" s="29"/>
      <c r="Z7" s="29"/>
      <c r="AA7" s="29"/>
      <c r="AB7" s="29"/>
      <c r="AC7" s="29"/>
      <c r="AD7" s="29"/>
    </row>
    <row r="8" spans="1:30" ht="180.75" customHeight="1" x14ac:dyDescent="0.35">
      <c r="A8" s="31">
        <v>3</v>
      </c>
      <c r="B8" s="8" t="s">
        <v>56</v>
      </c>
      <c r="C8" s="8" t="s">
        <v>51</v>
      </c>
      <c r="D8" s="9">
        <v>300000</v>
      </c>
      <c r="E8" s="9" t="s">
        <v>186</v>
      </c>
      <c r="F8" s="94"/>
      <c r="G8" s="95"/>
      <c r="H8" s="9">
        <v>0</v>
      </c>
      <c r="I8" s="8" t="s">
        <v>57</v>
      </c>
      <c r="J8" s="26" t="s">
        <v>53</v>
      </c>
      <c r="K8" s="25" t="s">
        <v>165</v>
      </c>
      <c r="L8" s="96"/>
      <c r="M8" s="33" t="s">
        <v>58</v>
      </c>
      <c r="N8" s="28">
        <v>2019</v>
      </c>
      <c r="O8" s="28"/>
      <c r="P8" s="29"/>
      <c r="Q8" s="29"/>
      <c r="R8" s="29"/>
      <c r="S8" s="29"/>
      <c r="T8" s="29"/>
      <c r="U8" s="29"/>
      <c r="V8" s="29"/>
      <c r="W8" s="29"/>
      <c r="X8" s="29"/>
      <c r="Y8" s="29"/>
      <c r="Z8" s="29"/>
      <c r="AA8" s="29"/>
      <c r="AB8" s="29"/>
      <c r="AC8" s="29"/>
      <c r="AD8" s="29"/>
    </row>
    <row r="9" spans="1:30" ht="156" customHeight="1" x14ac:dyDescent="0.35">
      <c r="A9" s="31">
        <v>4</v>
      </c>
      <c r="B9" s="8" t="s">
        <v>174</v>
      </c>
      <c r="C9" s="8" t="s">
        <v>51</v>
      </c>
      <c r="D9" s="9" t="s">
        <v>59</v>
      </c>
      <c r="E9" s="99" t="s">
        <v>182</v>
      </c>
      <c r="F9" s="103"/>
      <c r="G9" s="89"/>
      <c r="H9" s="9">
        <v>0</v>
      </c>
      <c r="I9" s="8" t="s">
        <v>60</v>
      </c>
      <c r="J9" s="26" t="s">
        <v>61</v>
      </c>
      <c r="K9" s="55" t="s">
        <v>166</v>
      </c>
      <c r="L9" s="32"/>
      <c r="M9" s="8" t="s">
        <v>62</v>
      </c>
      <c r="N9" s="28">
        <v>2021</v>
      </c>
      <c r="O9" s="28"/>
      <c r="P9" s="29"/>
      <c r="Q9" s="29"/>
      <c r="R9" s="29"/>
      <c r="S9" s="29"/>
      <c r="T9" s="29"/>
      <c r="U9" s="29"/>
      <c r="V9" s="29"/>
      <c r="W9" s="29"/>
      <c r="X9" s="29"/>
      <c r="Y9" s="29"/>
      <c r="Z9" s="29"/>
      <c r="AA9" s="29"/>
      <c r="AB9" s="29"/>
      <c r="AC9" s="29"/>
      <c r="AD9" s="29"/>
    </row>
    <row r="10" spans="1:30" ht="178.5" customHeight="1" x14ac:dyDescent="0.35">
      <c r="A10" s="169">
        <v>5</v>
      </c>
      <c r="B10" s="8" t="s">
        <v>176</v>
      </c>
      <c r="C10" s="124" t="s">
        <v>63</v>
      </c>
      <c r="D10" s="9">
        <v>338500</v>
      </c>
      <c r="E10" s="156" t="s">
        <v>182</v>
      </c>
      <c r="F10" s="159"/>
      <c r="G10" s="34"/>
      <c r="H10" s="135">
        <v>0</v>
      </c>
      <c r="I10" s="124" t="s">
        <v>169</v>
      </c>
      <c r="J10" s="162" t="s">
        <v>64</v>
      </c>
      <c r="K10" s="162" t="s">
        <v>188</v>
      </c>
      <c r="L10" s="32"/>
      <c r="M10" s="124" t="s">
        <v>170</v>
      </c>
      <c r="N10" s="28"/>
      <c r="O10" s="28"/>
      <c r="P10" s="29"/>
      <c r="Q10" s="29"/>
      <c r="R10" s="29"/>
      <c r="S10" s="29"/>
      <c r="T10" s="29"/>
      <c r="U10" s="29"/>
      <c r="V10" s="29"/>
      <c r="W10" s="29"/>
      <c r="X10" s="29"/>
      <c r="Y10" s="29"/>
      <c r="Z10" s="29"/>
      <c r="AA10" s="29"/>
      <c r="AB10" s="29"/>
      <c r="AC10" s="29"/>
      <c r="AD10" s="29"/>
    </row>
    <row r="11" spans="1:30" ht="178.5" customHeight="1" x14ac:dyDescent="0.35">
      <c r="A11" s="170"/>
      <c r="B11" s="8" t="s">
        <v>175</v>
      </c>
      <c r="C11" s="165"/>
      <c r="D11" s="9">
        <v>359800</v>
      </c>
      <c r="E11" s="157"/>
      <c r="F11" s="160"/>
      <c r="G11" s="34"/>
      <c r="H11" s="167"/>
      <c r="I11" s="165"/>
      <c r="J11" s="163"/>
      <c r="K11" s="163"/>
      <c r="L11" s="32"/>
      <c r="M11" s="165"/>
      <c r="N11" s="28"/>
      <c r="O11" s="28"/>
      <c r="P11" s="29"/>
      <c r="Q11" s="29"/>
      <c r="R11" s="29"/>
      <c r="S11" s="29"/>
      <c r="T11" s="29"/>
      <c r="U11" s="29"/>
      <c r="V11" s="29"/>
      <c r="W11" s="29"/>
      <c r="X11" s="29"/>
      <c r="Y11" s="29"/>
      <c r="Z11" s="29"/>
      <c r="AA11" s="29"/>
      <c r="AB11" s="29"/>
      <c r="AC11" s="29"/>
      <c r="AD11" s="29"/>
    </row>
    <row r="12" spans="1:30" ht="178.5" customHeight="1" x14ac:dyDescent="0.35">
      <c r="A12" s="170"/>
      <c r="B12" s="8" t="s">
        <v>172</v>
      </c>
      <c r="C12" s="165"/>
      <c r="D12" s="9">
        <v>301700</v>
      </c>
      <c r="E12" s="157"/>
      <c r="F12" s="160"/>
      <c r="G12" s="34"/>
      <c r="H12" s="167"/>
      <c r="I12" s="165"/>
      <c r="J12" s="163"/>
      <c r="K12" s="163"/>
      <c r="L12" s="32"/>
      <c r="M12" s="165"/>
      <c r="N12" s="28"/>
      <c r="O12" s="28"/>
      <c r="P12" s="29"/>
      <c r="Q12" s="29"/>
      <c r="R12" s="29"/>
      <c r="S12" s="29"/>
      <c r="T12" s="29"/>
      <c r="U12" s="29"/>
      <c r="V12" s="29"/>
      <c r="W12" s="29"/>
      <c r="X12" s="29"/>
      <c r="Y12" s="29"/>
      <c r="Z12" s="29"/>
      <c r="AA12" s="29"/>
      <c r="AB12" s="29"/>
      <c r="AC12" s="29"/>
      <c r="AD12" s="29"/>
    </row>
    <row r="13" spans="1:30" ht="178.5" customHeight="1" x14ac:dyDescent="0.35">
      <c r="A13" s="171"/>
      <c r="B13" s="8" t="s">
        <v>65</v>
      </c>
      <c r="C13" s="166"/>
      <c r="D13" s="9">
        <v>500000</v>
      </c>
      <c r="E13" s="158"/>
      <c r="F13" s="161"/>
      <c r="G13" s="34"/>
      <c r="H13" s="168"/>
      <c r="I13" s="166"/>
      <c r="J13" s="164"/>
      <c r="K13" s="164"/>
      <c r="L13" s="32"/>
      <c r="M13" s="166"/>
      <c r="N13" s="28"/>
      <c r="O13" s="28"/>
      <c r="P13" s="29"/>
      <c r="Q13" s="29"/>
      <c r="R13" s="29"/>
      <c r="S13" s="29"/>
      <c r="T13" s="29"/>
      <c r="U13" s="29"/>
      <c r="V13" s="29"/>
      <c r="W13" s="29"/>
      <c r="X13" s="29"/>
      <c r="Y13" s="29"/>
      <c r="Z13" s="29"/>
      <c r="AA13" s="29"/>
      <c r="AB13" s="29"/>
      <c r="AC13" s="29"/>
      <c r="AD13" s="29"/>
    </row>
    <row r="14" spans="1:30" ht="409.5" x14ac:dyDescent="0.35">
      <c r="A14" s="35">
        <v>6</v>
      </c>
      <c r="B14" s="36" t="s">
        <v>173</v>
      </c>
      <c r="C14" s="36" t="s">
        <v>51</v>
      </c>
      <c r="D14" s="37">
        <v>300000</v>
      </c>
      <c r="E14" s="36" t="s">
        <v>171</v>
      </c>
      <c r="F14" s="100"/>
      <c r="G14" s="36"/>
      <c r="H14" s="37">
        <v>350000</v>
      </c>
      <c r="I14" s="36" t="s">
        <v>67</v>
      </c>
      <c r="J14" s="117"/>
      <c r="K14" s="118"/>
      <c r="L14" s="35"/>
      <c r="M14" s="36" t="s">
        <v>218</v>
      </c>
      <c r="N14" s="28">
        <v>2022</v>
      </c>
      <c r="O14" s="28"/>
      <c r="P14" s="29"/>
      <c r="Q14" s="29"/>
      <c r="R14" s="29"/>
      <c r="S14" s="29"/>
      <c r="T14" s="29"/>
      <c r="U14" s="29"/>
      <c r="V14" s="29"/>
      <c r="W14" s="29"/>
      <c r="X14" s="29"/>
      <c r="Y14" s="29"/>
      <c r="Z14" s="29"/>
      <c r="AA14" s="29"/>
      <c r="AB14" s="29"/>
      <c r="AC14" s="29"/>
      <c r="AD14" s="29"/>
    </row>
    <row r="15" spans="1:30" ht="270.75" customHeight="1" x14ac:dyDescent="0.35">
      <c r="A15" s="25">
        <v>7</v>
      </c>
      <c r="B15" s="8" t="s">
        <v>177</v>
      </c>
      <c r="C15" s="8" t="s">
        <v>51</v>
      </c>
      <c r="D15" s="38">
        <v>500000</v>
      </c>
      <c r="E15" s="99" t="s">
        <v>182</v>
      </c>
      <c r="F15" s="102"/>
      <c r="G15" s="8"/>
      <c r="H15" s="9">
        <v>0</v>
      </c>
      <c r="I15" s="8" t="s">
        <v>69</v>
      </c>
      <c r="J15" s="39" t="s">
        <v>61</v>
      </c>
      <c r="K15" s="25"/>
      <c r="L15" s="8" t="s">
        <v>168</v>
      </c>
      <c r="M15" s="40" t="s">
        <v>150</v>
      </c>
      <c r="N15" s="28">
        <v>2023</v>
      </c>
      <c r="O15" s="28"/>
      <c r="P15" s="29"/>
      <c r="Q15" s="29"/>
      <c r="R15" s="29"/>
      <c r="S15" s="29"/>
      <c r="T15" s="29"/>
      <c r="U15" s="29"/>
      <c r="V15" s="29"/>
      <c r="W15" s="29"/>
      <c r="X15" s="29"/>
      <c r="Y15" s="29"/>
      <c r="Z15" s="29"/>
      <c r="AA15" s="29"/>
      <c r="AB15" s="29"/>
      <c r="AC15" s="29"/>
      <c r="AD15" s="29"/>
    </row>
    <row r="16" spans="1:30" ht="184.5" customHeight="1" thickBot="1" x14ac:dyDescent="0.4">
      <c r="A16" s="82">
        <v>8</v>
      </c>
      <c r="B16" s="83" t="s">
        <v>54</v>
      </c>
      <c r="C16" s="83" t="s">
        <v>51</v>
      </c>
      <c r="D16" s="86">
        <v>225000</v>
      </c>
      <c r="E16" s="83"/>
      <c r="F16" s="101"/>
      <c r="G16" s="83"/>
      <c r="H16" s="86">
        <f t="shared" ref="H16" si="0">SUM(D16:G16)</f>
        <v>225000</v>
      </c>
      <c r="I16" s="92" t="s">
        <v>70</v>
      </c>
      <c r="J16" s="85" t="s">
        <v>71</v>
      </c>
      <c r="K16" s="83" t="s">
        <v>72</v>
      </c>
      <c r="L16" s="82"/>
      <c r="M16" s="93"/>
      <c r="N16" s="28">
        <v>2023</v>
      </c>
      <c r="O16" s="28"/>
      <c r="P16" s="29"/>
      <c r="Q16" s="29"/>
      <c r="R16" s="29"/>
      <c r="S16" s="29"/>
      <c r="T16" s="29"/>
      <c r="U16" s="29"/>
      <c r="V16" s="29"/>
      <c r="W16" s="29"/>
      <c r="X16" s="29"/>
      <c r="Y16" s="29"/>
      <c r="Z16" s="29"/>
      <c r="AA16" s="29"/>
      <c r="AB16" s="29"/>
      <c r="AC16" s="29"/>
      <c r="AD16" s="29"/>
    </row>
    <row r="17" spans="1:18" ht="27.75" customHeight="1" x14ac:dyDescent="0.35">
      <c r="A17" s="90"/>
      <c r="B17" s="140" t="s">
        <v>167</v>
      </c>
      <c r="C17" s="141"/>
      <c r="D17" s="141"/>
      <c r="E17" s="141"/>
      <c r="F17" s="141"/>
      <c r="G17" s="142"/>
      <c r="H17" s="146">
        <f>SUM(H6:H16)</f>
        <v>575000</v>
      </c>
      <c r="I17" s="148"/>
      <c r="J17" s="148"/>
      <c r="K17" s="148"/>
      <c r="L17" s="148"/>
      <c r="M17" s="149"/>
      <c r="N17" s="42"/>
      <c r="O17" s="42"/>
      <c r="P17" s="42"/>
      <c r="Q17" s="2"/>
      <c r="R17" s="2"/>
    </row>
    <row r="18" spans="1:18" ht="15" customHeight="1" thickBot="1" x14ac:dyDescent="0.4">
      <c r="A18" s="91"/>
      <c r="B18" s="143"/>
      <c r="C18" s="144"/>
      <c r="D18" s="144"/>
      <c r="E18" s="144"/>
      <c r="F18" s="144"/>
      <c r="G18" s="145"/>
      <c r="H18" s="147"/>
      <c r="I18" s="150"/>
      <c r="J18" s="150"/>
      <c r="K18" s="150"/>
      <c r="L18" s="150"/>
      <c r="M18" s="151"/>
      <c r="N18" s="42"/>
      <c r="O18" s="42"/>
      <c r="P18" s="42"/>
      <c r="Q18" s="2"/>
      <c r="R18" s="2"/>
    </row>
    <row r="19" spans="1:18" ht="15" customHeight="1" x14ac:dyDescent="0.35">
      <c r="A19" s="41"/>
      <c r="B19" s="41"/>
      <c r="C19" s="41"/>
      <c r="D19" s="41"/>
      <c r="E19" s="41"/>
      <c r="F19" s="41"/>
      <c r="G19" s="41"/>
      <c r="H19" s="41"/>
      <c r="I19" s="2"/>
      <c r="J19" s="42"/>
      <c r="K19" s="42"/>
      <c r="L19" s="42"/>
      <c r="M19" s="42"/>
      <c r="N19" s="42"/>
      <c r="O19" s="42"/>
      <c r="P19" s="42"/>
      <c r="Q19" s="2"/>
      <c r="R19" s="2"/>
    </row>
    <row r="20" spans="1:18" ht="15" customHeight="1" x14ac:dyDescent="0.35">
      <c r="A20" s="41"/>
      <c r="B20" s="41"/>
      <c r="C20" s="41"/>
      <c r="D20" s="41"/>
      <c r="E20" s="41"/>
      <c r="F20" s="41"/>
      <c r="G20" s="41"/>
      <c r="H20" s="41"/>
      <c r="I20" s="2"/>
      <c r="J20" s="42"/>
      <c r="K20" s="42"/>
      <c r="L20" s="42"/>
      <c r="M20" s="42"/>
      <c r="N20" s="42"/>
      <c r="O20" s="42"/>
      <c r="P20" s="42"/>
      <c r="Q20" s="2"/>
      <c r="R20" s="2"/>
    </row>
    <row r="21" spans="1:18" ht="15" customHeight="1" x14ac:dyDescent="0.35">
      <c r="A21" s="41"/>
      <c r="B21" s="41"/>
      <c r="C21" s="41"/>
      <c r="D21" s="41"/>
      <c r="E21" s="41"/>
      <c r="F21" s="41"/>
      <c r="G21" s="41"/>
      <c r="H21" s="41"/>
      <c r="I21" s="2"/>
      <c r="J21" s="42"/>
      <c r="K21" s="42"/>
      <c r="L21" s="42"/>
      <c r="M21" s="42"/>
      <c r="N21" s="42"/>
      <c r="O21" s="42"/>
      <c r="P21" s="42"/>
      <c r="Q21" s="2"/>
      <c r="R21" s="2"/>
    </row>
    <row r="22" spans="1:18" ht="15" customHeight="1" x14ac:dyDescent="0.35">
      <c r="A22" s="2"/>
      <c r="B22" s="2"/>
      <c r="C22" s="2"/>
      <c r="D22" s="2"/>
      <c r="E22" s="2"/>
      <c r="F22" s="2"/>
      <c r="G22" s="2"/>
      <c r="H22" s="2"/>
      <c r="I22" s="2"/>
      <c r="J22" s="42"/>
      <c r="K22" s="42"/>
      <c r="L22" s="42"/>
      <c r="M22" s="42"/>
      <c r="N22" s="42"/>
      <c r="O22" s="42"/>
      <c r="P22" s="42"/>
      <c r="Q22" s="2"/>
      <c r="R22" s="2"/>
    </row>
    <row r="23" spans="1:18" ht="15" customHeight="1" x14ac:dyDescent="0.35">
      <c r="A23" s="2"/>
      <c r="B23" s="2"/>
      <c r="C23" s="2"/>
      <c r="D23" s="2"/>
      <c r="E23" s="2"/>
      <c r="F23" s="2"/>
      <c r="G23" s="2"/>
      <c r="H23" s="2"/>
      <c r="I23" s="2"/>
      <c r="J23" s="42"/>
      <c r="K23" s="42"/>
      <c r="L23" s="42"/>
      <c r="M23" s="42"/>
      <c r="N23" s="42"/>
      <c r="O23" s="42"/>
      <c r="P23" s="42"/>
      <c r="Q23" s="2"/>
      <c r="R23" s="2"/>
    </row>
    <row r="24" spans="1:18" ht="15" customHeight="1" x14ac:dyDescent="0.35">
      <c r="A24" s="2"/>
      <c r="B24" s="2"/>
      <c r="C24" s="2"/>
      <c r="D24" s="2"/>
      <c r="E24" s="2"/>
      <c r="F24" s="2"/>
      <c r="G24" s="2"/>
      <c r="H24" s="2"/>
      <c r="I24" s="2"/>
      <c r="J24" s="42"/>
      <c r="K24" s="42"/>
      <c r="L24" s="42"/>
      <c r="M24" s="42"/>
      <c r="N24" s="42"/>
      <c r="O24" s="42"/>
      <c r="P24" s="42"/>
      <c r="Q24" s="2"/>
      <c r="R24" s="2"/>
    </row>
    <row r="25" spans="1:18" ht="15" customHeight="1" x14ac:dyDescent="0.35">
      <c r="A25" s="2"/>
      <c r="B25" s="2"/>
      <c r="C25" s="2"/>
      <c r="D25" s="2"/>
      <c r="E25" s="2"/>
      <c r="F25" s="2"/>
      <c r="G25" s="2"/>
      <c r="H25" s="2"/>
      <c r="I25" s="2"/>
      <c r="J25" s="42"/>
      <c r="K25" s="42"/>
      <c r="L25" s="42"/>
      <c r="M25" s="42"/>
      <c r="N25" s="42"/>
      <c r="O25" s="42"/>
      <c r="P25" s="42"/>
      <c r="Q25" s="2"/>
      <c r="R25" s="2"/>
    </row>
    <row r="26" spans="1:18" ht="15" customHeight="1" x14ac:dyDescent="0.35">
      <c r="A26" s="2"/>
      <c r="B26" s="2"/>
      <c r="C26" s="2"/>
      <c r="D26" s="2"/>
      <c r="E26" s="2"/>
      <c r="F26" s="2"/>
      <c r="G26" s="2"/>
      <c r="H26" s="2"/>
      <c r="I26" s="2"/>
      <c r="J26" s="42"/>
      <c r="K26" s="42"/>
      <c r="L26" s="42"/>
      <c r="M26" s="42"/>
      <c r="N26" s="42"/>
      <c r="O26" s="42"/>
      <c r="P26" s="42"/>
      <c r="Q26" s="2"/>
      <c r="R26" s="2"/>
    </row>
    <row r="27" spans="1:18" ht="15.75" customHeight="1" x14ac:dyDescent="0.35">
      <c r="A27" s="2"/>
      <c r="B27" s="2"/>
      <c r="C27" s="2"/>
      <c r="D27" s="2"/>
      <c r="E27" s="2"/>
      <c r="F27" s="2"/>
      <c r="G27" s="2"/>
      <c r="H27" s="2"/>
      <c r="I27" s="2"/>
      <c r="J27" s="2"/>
      <c r="K27" s="2"/>
      <c r="L27" s="2"/>
      <c r="M27" s="2"/>
      <c r="N27" s="2"/>
      <c r="O27" s="2"/>
      <c r="P27" s="2"/>
      <c r="Q27" s="2"/>
      <c r="R27" s="2"/>
    </row>
    <row r="28" spans="1:18" ht="15.75" customHeight="1" x14ac:dyDescent="0.35">
      <c r="A28" s="2"/>
      <c r="B28" s="2"/>
      <c r="C28" s="2"/>
      <c r="D28" s="2"/>
      <c r="E28" s="2"/>
      <c r="F28" s="2"/>
      <c r="G28" s="2"/>
      <c r="H28" s="2"/>
      <c r="I28" s="2"/>
      <c r="J28" s="2"/>
      <c r="K28" s="2"/>
      <c r="L28" s="2"/>
      <c r="M28" s="2"/>
      <c r="N28" s="2"/>
      <c r="O28" s="2"/>
      <c r="P28" s="2"/>
      <c r="Q28" s="2"/>
      <c r="R28" s="2"/>
    </row>
    <row r="29" spans="1:18" ht="15.75" customHeight="1" x14ac:dyDescent="0.35">
      <c r="A29" s="2"/>
      <c r="B29" s="2"/>
      <c r="C29" s="2"/>
      <c r="D29" s="2"/>
      <c r="E29" s="2"/>
      <c r="F29" s="2"/>
      <c r="G29" s="2"/>
      <c r="H29" s="2"/>
      <c r="I29" s="2"/>
      <c r="J29" s="2"/>
      <c r="K29" s="2"/>
      <c r="L29" s="2"/>
      <c r="M29" s="2"/>
      <c r="N29" s="2"/>
      <c r="O29" s="2"/>
      <c r="P29" s="2"/>
      <c r="Q29" s="2"/>
      <c r="R29" s="2"/>
    </row>
    <row r="30" spans="1:18" ht="15.75" customHeight="1" x14ac:dyDescent="0.35">
      <c r="A30" s="2"/>
      <c r="B30" s="2"/>
      <c r="C30" s="2"/>
      <c r="D30" s="2"/>
      <c r="E30" s="2"/>
      <c r="F30" s="2"/>
      <c r="G30" s="2"/>
      <c r="H30" s="2"/>
      <c r="I30" s="2"/>
      <c r="J30" s="2"/>
      <c r="K30" s="2"/>
      <c r="L30" s="2"/>
      <c r="M30" s="2"/>
      <c r="N30" s="2"/>
      <c r="O30" s="2"/>
      <c r="P30" s="2"/>
      <c r="Q30" s="2"/>
      <c r="R30" s="2"/>
    </row>
    <row r="31" spans="1:18" ht="15.75" customHeight="1" x14ac:dyDescent="0.35">
      <c r="A31" s="2"/>
      <c r="B31" s="2"/>
      <c r="C31" s="2"/>
      <c r="D31" s="2"/>
      <c r="E31" s="2"/>
      <c r="F31" s="2"/>
      <c r="G31" s="2"/>
      <c r="H31" s="2"/>
      <c r="I31" s="2"/>
      <c r="J31" s="2"/>
      <c r="K31" s="2"/>
      <c r="L31" s="2"/>
      <c r="M31" s="2"/>
      <c r="N31" s="2"/>
      <c r="O31" s="2"/>
      <c r="P31" s="2"/>
      <c r="Q31" s="2"/>
      <c r="R31" s="2"/>
    </row>
    <row r="32" spans="1:18" ht="15.75" customHeight="1" x14ac:dyDescent="0.35">
      <c r="A32" s="2"/>
      <c r="B32" s="2"/>
      <c r="C32" s="2"/>
      <c r="D32" s="2"/>
      <c r="E32" s="2"/>
      <c r="F32" s="2"/>
      <c r="G32" s="2"/>
      <c r="H32" s="2"/>
      <c r="I32" s="2"/>
      <c r="J32" s="2"/>
      <c r="K32" s="2"/>
      <c r="L32" s="2"/>
      <c r="M32" s="2"/>
      <c r="N32" s="2"/>
      <c r="O32" s="2"/>
      <c r="P32" s="2"/>
      <c r="Q32" s="2"/>
      <c r="R32" s="2"/>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sheetData>
  <mergeCells count="19">
    <mergeCell ref="A2:M2"/>
    <mergeCell ref="B4:E4"/>
    <mergeCell ref="I4:K4"/>
    <mergeCell ref="C10:C13"/>
    <mergeCell ref="J10:J13"/>
    <mergeCell ref="H10:H13"/>
    <mergeCell ref="I10:I13"/>
    <mergeCell ref="M10:M13"/>
    <mergeCell ref="A4:A5"/>
    <mergeCell ref="A10:A13"/>
    <mergeCell ref="B17:G18"/>
    <mergeCell ref="H17:H18"/>
    <mergeCell ref="I17:M18"/>
    <mergeCell ref="L4:L5"/>
    <mergeCell ref="M4:M5"/>
    <mergeCell ref="F4:H4"/>
    <mergeCell ref="E10:E13"/>
    <mergeCell ref="F10:F13"/>
    <mergeCell ref="K10:K13"/>
  </mergeCells>
  <printOptions horizontalCentered="1"/>
  <pageMargins left="0.25" right="0.25" top="0.75" bottom="0.75" header="0" footer="0"/>
  <pageSetup paperSize="9" scale="27" fitToHeight="0" orientation="landscape" r:id="rId1"/>
  <rowBreaks count="1" manualBreakCount="1">
    <brk id="9" max="12"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988"/>
  <sheetViews>
    <sheetView view="pageBreakPreview" zoomScale="40" zoomScaleNormal="25" zoomScaleSheetLayoutView="40" workbookViewId="0">
      <pane ySplit="5" topLeftCell="A18" activePane="bottomLeft" state="frozen"/>
      <selection pane="bottomLeft" activeCell="I25" sqref="I25"/>
    </sheetView>
  </sheetViews>
  <sheetFormatPr defaultColWidth="14.453125" defaultRowHeight="15" customHeight="1" x14ac:dyDescent="0.35"/>
  <cols>
    <col min="1" max="1" width="6" customWidth="1"/>
    <col min="2" max="2" width="39.453125" customWidth="1"/>
    <col min="3" max="3" width="48.1796875" customWidth="1"/>
    <col min="4" max="4" width="63.26953125" customWidth="1"/>
    <col min="5" max="5" width="83.1796875" customWidth="1"/>
    <col min="6" max="7" width="30.7265625" customWidth="1"/>
    <col min="8" max="8" width="45.54296875" customWidth="1"/>
    <col min="9" max="9" width="40.26953125" customWidth="1"/>
    <col min="10" max="10" width="43.26953125" customWidth="1"/>
    <col min="11" max="11" width="68.26953125" customWidth="1"/>
  </cols>
  <sheetData>
    <row r="1" spans="1:12" ht="23.5" x14ac:dyDescent="0.55000000000000004">
      <c r="A1" s="1"/>
      <c r="B1" s="1"/>
      <c r="C1" s="1"/>
      <c r="D1" s="1"/>
      <c r="E1" s="1"/>
      <c r="F1" s="1"/>
      <c r="G1" s="1"/>
      <c r="H1" s="1"/>
      <c r="I1" s="1"/>
      <c r="J1" s="1"/>
      <c r="K1" s="1"/>
      <c r="L1" s="2"/>
    </row>
    <row r="2" spans="1:12" ht="28.5" x14ac:dyDescent="0.35">
      <c r="A2" s="126" t="s">
        <v>0</v>
      </c>
      <c r="B2" s="127"/>
      <c r="C2" s="3"/>
      <c r="D2" s="3"/>
      <c r="E2" s="3"/>
      <c r="F2" s="3"/>
      <c r="G2" s="3"/>
      <c r="H2" s="3"/>
      <c r="I2" s="3"/>
      <c r="J2" s="3"/>
      <c r="K2" s="3"/>
      <c r="L2" s="2"/>
    </row>
    <row r="3" spans="1:12" ht="28.5" x14ac:dyDescent="0.35">
      <c r="A3" s="3"/>
      <c r="B3" s="3"/>
      <c r="C3" s="3"/>
      <c r="D3" s="3"/>
      <c r="E3" s="3"/>
      <c r="F3" s="3"/>
      <c r="G3" s="3"/>
      <c r="H3" s="3"/>
      <c r="I3" s="3"/>
      <c r="J3" s="3"/>
      <c r="K3" s="4" t="s">
        <v>209</v>
      </c>
      <c r="L3" s="2"/>
    </row>
    <row r="4" spans="1:12" ht="28.5" customHeight="1" x14ac:dyDescent="0.35">
      <c r="A4" s="119" t="s">
        <v>1</v>
      </c>
      <c r="B4" s="128" t="s">
        <v>154</v>
      </c>
      <c r="C4" s="129"/>
      <c r="D4" s="129"/>
      <c r="E4" s="130"/>
      <c r="F4" s="128"/>
      <c r="G4" s="130"/>
      <c r="H4" s="131" t="s">
        <v>2</v>
      </c>
      <c r="I4" s="129"/>
      <c r="J4" s="130"/>
      <c r="K4" s="119" t="s">
        <v>3</v>
      </c>
      <c r="L4" s="2"/>
    </row>
    <row r="5" spans="1:12" ht="114" customHeight="1" x14ac:dyDescent="0.35">
      <c r="A5" s="125"/>
      <c r="B5" s="5" t="s">
        <v>153</v>
      </c>
      <c r="C5" s="5" t="s">
        <v>4</v>
      </c>
      <c r="D5" s="5" t="s">
        <v>156</v>
      </c>
      <c r="E5" s="6" t="s">
        <v>190</v>
      </c>
      <c r="F5" s="5" t="s">
        <v>5</v>
      </c>
      <c r="G5" s="5" t="s">
        <v>6</v>
      </c>
      <c r="H5" s="5" t="s">
        <v>7</v>
      </c>
      <c r="I5" s="6" t="s">
        <v>8</v>
      </c>
      <c r="J5" s="81" t="s">
        <v>9</v>
      </c>
      <c r="K5" s="120"/>
      <c r="L5" s="2"/>
    </row>
    <row r="6" spans="1:12" ht="85.5" x14ac:dyDescent="0.35">
      <c r="A6" s="7">
        <v>1</v>
      </c>
      <c r="B6" s="8" t="s">
        <v>10</v>
      </c>
      <c r="C6" s="8" t="s">
        <v>11</v>
      </c>
      <c r="D6" s="9">
        <v>15000</v>
      </c>
      <c r="E6" s="87"/>
      <c r="F6" s="87"/>
      <c r="G6" s="9">
        <f>D6+F6</f>
        <v>15000</v>
      </c>
      <c r="H6" s="87"/>
      <c r="I6" s="87"/>
      <c r="J6" s="87"/>
      <c r="K6" s="10" t="s">
        <v>157</v>
      </c>
      <c r="L6" s="2"/>
    </row>
    <row r="7" spans="1:12" ht="75" customHeight="1" x14ac:dyDescent="0.35">
      <c r="A7" s="11">
        <v>2</v>
      </c>
      <c r="B7" s="8" t="s">
        <v>12</v>
      </c>
      <c r="C7" s="8" t="s">
        <v>13</v>
      </c>
      <c r="D7" s="9">
        <v>3000</v>
      </c>
      <c r="E7" s="87"/>
      <c r="F7" s="87"/>
      <c r="G7" s="9">
        <f t="shared" ref="G7:G16" si="0">D7+F7</f>
        <v>3000</v>
      </c>
      <c r="H7" s="87"/>
      <c r="I7" s="87"/>
      <c r="J7" s="87"/>
      <c r="K7" s="8" t="s">
        <v>158</v>
      </c>
      <c r="L7" s="2"/>
    </row>
    <row r="8" spans="1:12" ht="75" customHeight="1" x14ac:dyDescent="0.35">
      <c r="A8" s="11">
        <v>3</v>
      </c>
      <c r="B8" s="8" t="s">
        <v>14</v>
      </c>
      <c r="C8" s="8" t="s">
        <v>15</v>
      </c>
      <c r="D8" s="9">
        <v>3000</v>
      </c>
      <c r="E8" s="87"/>
      <c r="F8" s="87"/>
      <c r="G8" s="9">
        <f t="shared" si="0"/>
        <v>3000</v>
      </c>
      <c r="H8" s="87"/>
      <c r="I8" s="87"/>
      <c r="J8" s="87"/>
      <c r="K8" s="8" t="s">
        <v>159</v>
      </c>
      <c r="L8" s="2"/>
    </row>
    <row r="9" spans="1:12" ht="142.5" x14ac:dyDescent="0.35">
      <c r="A9" s="7">
        <v>4</v>
      </c>
      <c r="B9" s="8" t="s">
        <v>10</v>
      </c>
      <c r="C9" s="8" t="s">
        <v>16</v>
      </c>
      <c r="D9" s="9">
        <v>160000</v>
      </c>
      <c r="E9" s="8"/>
      <c r="F9" s="12"/>
      <c r="G9" s="8"/>
      <c r="H9" s="8" t="s">
        <v>17</v>
      </c>
      <c r="I9" s="8" t="s">
        <v>18</v>
      </c>
      <c r="J9" s="8" t="s">
        <v>164</v>
      </c>
      <c r="K9" s="13" t="s">
        <v>19</v>
      </c>
      <c r="L9" s="2">
        <v>2019</v>
      </c>
    </row>
    <row r="10" spans="1:12" ht="75" customHeight="1" x14ac:dyDescent="0.35">
      <c r="A10" s="11">
        <v>5</v>
      </c>
      <c r="B10" s="14" t="s">
        <v>14</v>
      </c>
      <c r="C10" s="8" t="s">
        <v>20</v>
      </c>
      <c r="D10" s="9">
        <v>30000</v>
      </c>
      <c r="E10" s="87"/>
      <c r="F10" s="87"/>
      <c r="G10" s="9">
        <f t="shared" si="0"/>
        <v>30000</v>
      </c>
      <c r="H10" s="87"/>
      <c r="I10" s="87"/>
      <c r="J10" s="87"/>
      <c r="K10" s="8" t="s">
        <v>160</v>
      </c>
      <c r="L10" s="2"/>
    </row>
    <row r="11" spans="1:12" ht="75" customHeight="1" x14ac:dyDescent="0.35">
      <c r="A11" s="11">
        <v>6</v>
      </c>
      <c r="B11" s="8" t="s">
        <v>21</v>
      </c>
      <c r="C11" s="8" t="s">
        <v>22</v>
      </c>
      <c r="D11" s="9">
        <v>30000</v>
      </c>
      <c r="E11" s="9">
        <v>3000</v>
      </c>
      <c r="F11" s="87"/>
      <c r="G11" s="9">
        <f t="shared" si="0"/>
        <v>30000</v>
      </c>
      <c r="H11" s="87"/>
      <c r="I11" s="87"/>
      <c r="J11" s="87"/>
      <c r="K11" s="8"/>
      <c r="L11" s="2"/>
    </row>
    <row r="12" spans="1:12" ht="75" customHeight="1" x14ac:dyDescent="0.35">
      <c r="A12" s="11">
        <v>7</v>
      </c>
      <c r="B12" s="15" t="s">
        <v>23</v>
      </c>
      <c r="C12" s="8" t="s">
        <v>24</v>
      </c>
      <c r="D12" s="9">
        <v>20000</v>
      </c>
      <c r="E12" s="8"/>
      <c r="F12" s="8"/>
      <c r="G12" s="9">
        <f t="shared" si="0"/>
        <v>20000</v>
      </c>
      <c r="H12" s="8"/>
      <c r="I12" s="8"/>
      <c r="J12" s="8"/>
      <c r="K12" s="8" t="s">
        <v>151</v>
      </c>
      <c r="L12" s="2"/>
    </row>
    <row r="13" spans="1:12" ht="75" customHeight="1" x14ac:dyDescent="0.35">
      <c r="A13" s="11">
        <v>8</v>
      </c>
      <c r="B13" s="15" t="s">
        <v>10</v>
      </c>
      <c r="C13" s="15" t="s">
        <v>25</v>
      </c>
      <c r="D13" s="9">
        <v>200000</v>
      </c>
      <c r="E13" s="8"/>
      <c r="F13" s="8"/>
      <c r="G13" s="8"/>
      <c r="H13" s="8"/>
      <c r="I13" s="8"/>
      <c r="J13" s="8"/>
      <c r="K13" s="10" t="s">
        <v>26</v>
      </c>
      <c r="L13" s="2"/>
    </row>
    <row r="14" spans="1:12" ht="194.5" customHeight="1" x14ac:dyDescent="0.35">
      <c r="A14" s="11">
        <v>9</v>
      </c>
      <c r="B14" s="15" t="s">
        <v>27</v>
      </c>
      <c r="C14" s="8" t="s">
        <v>28</v>
      </c>
      <c r="D14" s="9">
        <v>15000</v>
      </c>
      <c r="E14" s="8"/>
      <c r="F14" s="8"/>
      <c r="G14" s="9">
        <f t="shared" si="0"/>
        <v>15000</v>
      </c>
      <c r="H14" s="8" t="s">
        <v>29</v>
      </c>
      <c r="I14" s="8"/>
      <c r="J14" s="8"/>
      <c r="K14" s="8" t="s">
        <v>161</v>
      </c>
      <c r="L14" s="2"/>
    </row>
    <row r="15" spans="1:12" ht="75" customHeight="1" x14ac:dyDescent="0.35">
      <c r="A15" s="11">
        <v>10</v>
      </c>
      <c r="B15" s="15" t="s">
        <v>30</v>
      </c>
      <c r="C15" s="8" t="s">
        <v>31</v>
      </c>
      <c r="D15" s="8" t="s">
        <v>32</v>
      </c>
      <c r="E15" s="8"/>
      <c r="F15" s="8"/>
      <c r="G15" s="8"/>
      <c r="H15" s="8"/>
      <c r="I15" s="8"/>
      <c r="J15" s="8"/>
      <c r="K15" s="8" t="s">
        <v>160</v>
      </c>
      <c r="L15" s="2"/>
    </row>
    <row r="16" spans="1:12" ht="57" x14ac:dyDescent="0.35">
      <c r="A16" s="11">
        <v>11</v>
      </c>
      <c r="B16" s="15" t="s">
        <v>33</v>
      </c>
      <c r="C16" s="8" t="s">
        <v>34</v>
      </c>
      <c r="D16" s="9">
        <v>30000</v>
      </c>
      <c r="E16" s="8"/>
      <c r="F16" s="8"/>
      <c r="G16" s="9">
        <f t="shared" si="0"/>
        <v>30000</v>
      </c>
      <c r="H16" s="87"/>
      <c r="I16" s="87"/>
      <c r="J16" s="87"/>
      <c r="K16" s="8" t="s">
        <v>162</v>
      </c>
      <c r="L16" s="2"/>
    </row>
    <row r="17" spans="1:12" ht="112.5" customHeight="1" x14ac:dyDescent="0.65">
      <c r="A17" s="11">
        <v>12</v>
      </c>
      <c r="B17" s="15" t="s">
        <v>10</v>
      </c>
      <c r="C17" s="8" t="s">
        <v>35</v>
      </c>
      <c r="D17" s="9" t="s">
        <v>36</v>
      </c>
      <c r="E17" s="16">
        <v>26000</v>
      </c>
      <c r="F17" s="87"/>
      <c r="G17" s="9">
        <v>33500</v>
      </c>
      <c r="H17" s="87"/>
      <c r="I17" s="87"/>
      <c r="J17" s="87"/>
      <c r="K17" s="8" t="s">
        <v>163</v>
      </c>
      <c r="L17" s="84"/>
    </row>
    <row r="18" spans="1:12" ht="75" customHeight="1" x14ac:dyDescent="0.35">
      <c r="A18" s="121">
        <v>13</v>
      </c>
      <c r="B18" s="8" t="s">
        <v>33</v>
      </c>
      <c r="C18" s="124" t="s">
        <v>37</v>
      </c>
      <c r="D18" s="9">
        <v>300000</v>
      </c>
      <c r="E18" s="8"/>
      <c r="F18" s="8"/>
      <c r="G18" s="9">
        <f t="shared" ref="G18" si="1">D18</f>
        <v>300000</v>
      </c>
      <c r="H18" s="8"/>
      <c r="I18" s="8"/>
      <c r="J18" s="8"/>
      <c r="K18" s="8"/>
    </row>
    <row r="19" spans="1:12" ht="75" customHeight="1" x14ac:dyDescent="0.35">
      <c r="A19" s="122"/>
      <c r="B19" s="8" t="s">
        <v>38</v>
      </c>
      <c r="C19" s="120"/>
      <c r="D19" s="9">
        <v>300000</v>
      </c>
      <c r="E19" s="8"/>
      <c r="F19" s="8"/>
      <c r="G19" s="9">
        <f>D19</f>
        <v>300000</v>
      </c>
      <c r="H19" s="8"/>
      <c r="I19" s="8"/>
      <c r="J19" s="8"/>
      <c r="K19" s="8"/>
    </row>
    <row r="20" spans="1:12" ht="75" customHeight="1" x14ac:dyDescent="0.35">
      <c r="A20" s="123"/>
      <c r="B20" s="8" t="s">
        <v>39</v>
      </c>
      <c r="C20" s="125"/>
      <c r="D20" s="9">
        <v>200000</v>
      </c>
      <c r="E20" s="8"/>
      <c r="F20" s="8"/>
      <c r="G20" s="9">
        <f>D20</f>
        <v>200000</v>
      </c>
      <c r="H20" s="8"/>
      <c r="I20" s="8"/>
      <c r="J20" s="8"/>
      <c r="K20" s="8"/>
    </row>
    <row r="21" spans="1:12" ht="228" x14ac:dyDescent="0.35">
      <c r="A21" s="11">
        <v>14</v>
      </c>
      <c r="B21" s="8" t="s">
        <v>40</v>
      </c>
      <c r="C21" s="8" t="s">
        <v>41</v>
      </c>
      <c r="D21" s="9">
        <v>157500</v>
      </c>
      <c r="E21" s="9">
        <v>62500</v>
      </c>
      <c r="F21" s="8"/>
      <c r="G21" s="9">
        <v>220000</v>
      </c>
      <c r="H21" s="8" t="s">
        <v>42</v>
      </c>
      <c r="I21" s="8" t="s">
        <v>18</v>
      </c>
      <c r="J21" s="8" t="s">
        <v>164</v>
      </c>
      <c r="K21" s="8" t="s">
        <v>43</v>
      </c>
    </row>
    <row r="22" spans="1:12" ht="199.5" x14ac:dyDescent="0.35">
      <c r="A22" s="11">
        <v>15</v>
      </c>
      <c r="B22" s="8" t="s">
        <v>198</v>
      </c>
      <c r="C22" s="8" t="s">
        <v>199</v>
      </c>
      <c r="D22" s="9">
        <v>80000</v>
      </c>
      <c r="E22" s="8"/>
      <c r="F22" s="8"/>
      <c r="G22" s="9">
        <f>D22+F22</f>
        <v>80000</v>
      </c>
      <c r="H22" s="8" t="s">
        <v>200</v>
      </c>
      <c r="I22" s="8" t="s">
        <v>199</v>
      </c>
      <c r="J22" s="8"/>
      <c r="K22" s="8" t="s">
        <v>201</v>
      </c>
      <c r="L22" s="2"/>
    </row>
    <row r="23" spans="1:12" ht="256.5" x14ac:dyDescent="0.35">
      <c r="A23" s="109">
        <v>16</v>
      </c>
      <c r="B23" s="36" t="s">
        <v>205</v>
      </c>
      <c r="C23" s="36" t="s">
        <v>202</v>
      </c>
      <c r="D23" s="37">
        <v>25000</v>
      </c>
      <c r="E23" s="36">
        <v>1500</v>
      </c>
      <c r="F23" s="110"/>
      <c r="G23" s="37">
        <f>D23+E23</f>
        <v>26500</v>
      </c>
      <c r="H23" s="110"/>
      <c r="I23" s="110"/>
      <c r="J23" s="110"/>
      <c r="K23" s="36" t="s">
        <v>203</v>
      </c>
      <c r="L23" s="17"/>
    </row>
    <row r="24" spans="1:12" ht="169.5" customHeight="1" x14ac:dyDescent="0.35">
      <c r="A24" s="111">
        <v>16</v>
      </c>
      <c r="B24" s="112" t="s">
        <v>206</v>
      </c>
      <c r="C24" s="113" t="s">
        <v>204</v>
      </c>
      <c r="D24" s="114">
        <v>2000</v>
      </c>
      <c r="E24" s="115"/>
      <c r="F24" s="115"/>
      <c r="G24" s="114">
        <f>D24</f>
        <v>2000</v>
      </c>
      <c r="H24" s="115"/>
      <c r="I24" s="115"/>
      <c r="J24" s="115"/>
      <c r="K24" s="113" t="s">
        <v>212</v>
      </c>
      <c r="L24" s="17"/>
    </row>
    <row r="25" spans="1:12" s="116" customFormat="1" ht="399" x14ac:dyDescent="0.35">
      <c r="A25" s="112">
        <v>17</v>
      </c>
      <c r="B25" s="112" t="s">
        <v>198</v>
      </c>
      <c r="C25" s="112" t="s">
        <v>207</v>
      </c>
      <c r="D25" s="114">
        <v>400000</v>
      </c>
      <c r="E25" s="112" t="s">
        <v>208</v>
      </c>
      <c r="F25" s="112"/>
      <c r="G25" s="112"/>
      <c r="H25" s="112" t="s">
        <v>213</v>
      </c>
      <c r="I25" s="112"/>
      <c r="J25" s="112" t="s">
        <v>213</v>
      </c>
      <c r="K25" s="112" t="s">
        <v>219</v>
      </c>
    </row>
    <row r="26" spans="1:12" ht="250.5" customHeight="1" x14ac:dyDescent="0.35">
      <c r="A26" s="112">
        <v>18</v>
      </c>
      <c r="B26" s="112" t="s">
        <v>198</v>
      </c>
      <c r="C26" s="112" t="s">
        <v>210</v>
      </c>
      <c r="D26" s="114">
        <v>400000</v>
      </c>
      <c r="E26" s="112" t="s">
        <v>211</v>
      </c>
      <c r="F26" s="112"/>
      <c r="G26" s="112"/>
      <c r="H26" s="112" t="s">
        <v>213</v>
      </c>
      <c r="I26" s="112"/>
      <c r="J26" s="112" t="s">
        <v>214</v>
      </c>
      <c r="K26" s="112" t="s">
        <v>220</v>
      </c>
    </row>
    <row r="27" spans="1:12" ht="15.75" customHeight="1" x14ac:dyDescent="0.35">
      <c r="A27" s="2"/>
      <c r="B27" s="2"/>
      <c r="C27" s="2"/>
      <c r="D27" s="2"/>
      <c r="E27" s="2"/>
      <c r="F27" s="2"/>
      <c r="G27" s="2"/>
      <c r="H27" s="2"/>
      <c r="I27" s="2"/>
      <c r="J27" s="2"/>
      <c r="K27" s="2"/>
    </row>
    <row r="28" spans="1:12" ht="15.75" customHeight="1" x14ac:dyDescent="0.35">
      <c r="A28" s="2"/>
      <c r="B28" s="2"/>
      <c r="C28" s="2"/>
      <c r="D28" s="2"/>
      <c r="E28" s="2"/>
      <c r="F28" s="2"/>
      <c r="G28" s="2"/>
      <c r="H28" s="2"/>
      <c r="I28" s="2"/>
      <c r="J28" s="2"/>
      <c r="K28" s="2"/>
    </row>
    <row r="29" spans="1:12" ht="15.75" customHeight="1" x14ac:dyDescent="0.35">
      <c r="A29" s="2"/>
      <c r="B29" s="2"/>
      <c r="C29" s="2"/>
      <c r="D29" s="2"/>
      <c r="E29" s="2"/>
      <c r="F29" s="2"/>
      <c r="G29" s="2"/>
      <c r="H29" s="2"/>
      <c r="I29" s="2"/>
      <c r="J29" s="2"/>
      <c r="K29" s="2"/>
    </row>
    <row r="30" spans="1:12" ht="15.75" customHeight="1" x14ac:dyDescent="0.35">
      <c r="A30" s="2"/>
      <c r="B30" s="2"/>
      <c r="C30" s="2"/>
      <c r="D30" s="2"/>
      <c r="E30" s="2"/>
      <c r="F30" s="2"/>
      <c r="G30" s="2"/>
      <c r="H30" s="2"/>
      <c r="I30" s="2"/>
      <c r="J30" s="2"/>
      <c r="K30" s="2"/>
    </row>
    <row r="31" spans="1:12" ht="15.75" customHeight="1" x14ac:dyDescent="0.35">
      <c r="A31" s="2"/>
      <c r="B31" s="2"/>
      <c r="C31" s="2"/>
      <c r="D31" s="2"/>
      <c r="E31" s="2"/>
      <c r="F31" s="2"/>
      <c r="G31" s="2"/>
      <c r="H31" s="2"/>
      <c r="I31" s="2"/>
      <c r="J31" s="2"/>
      <c r="K31" s="2"/>
    </row>
    <row r="32" spans="1:12" ht="15.75" customHeight="1" x14ac:dyDescent="0.35">
      <c r="A32" s="2"/>
      <c r="B32" s="2"/>
      <c r="C32" s="2"/>
      <c r="D32" s="2"/>
      <c r="E32" s="2"/>
      <c r="F32" s="2"/>
      <c r="G32" s="2"/>
      <c r="H32" s="2"/>
      <c r="I32" s="2"/>
      <c r="J32" s="2"/>
      <c r="K32" s="2"/>
    </row>
    <row r="33" spans="1:11" ht="15.75" customHeight="1" x14ac:dyDescent="0.35">
      <c r="A33" s="2"/>
      <c r="B33" s="2"/>
      <c r="C33" s="2"/>
      <c r="D33" s="2"/>
      <c r="E33" s="2"/>
      <c r="F33" s="2"/>
      <c r="G33" s="2"/>
      <c r="H33" s="2"/>
      <c r="I33" s="2"/>
      <c r="J33" s="2"/>
      <c r="K33" s="2"/>
    </row>
    <row r="34" spans="1:11" ht="15.75" customHeight="1" x14ac:dyDescent="0.35"/>
    <row r="35" spans="1:11" ht="15.75" customHeight="1" x14ac:dyDescent="0.35"/>
    <row r="36" spans="1:11" ht="15.75" customHeight="1" x14ac:dyDescent="0.35"/>
    <row r="37" spans="1:11" ht="15.75" customHeight="1" x14ac:dyDescent="0.35"/>
    <row r="38" spans="1:11" ht="15.75" customHeight="1" x14ac:dyDescent="0.35"/>
    <row r="39" spans="1:11" ht="15.75" customHeight="1" x14ac:dyDescent="0.35"/>
    <row r="40" spans="1:11" ht="15.75" customHeight="1" x14ac:dyDescent="0.35"/>
    <row r="41" spans="1:11" ht="15.75" customHeight="1" x14ac:dyDescent="0.35"/>
    <row r="42" spans="1:11" ht="15.75" customHeight="1" x14ac:dyDescent="0.35"/>
    <row r="43" spans="1:11" ht="15.75" customHeight="1" x14ac:dyDescent="0.35"/>
    <row r="44" spans="1:11" ht="15.75" customHeight="1" x14ac:dyDescent="0.35"/>
    <row r="45" spans="1:11" ht="15.75" customHeight="1" x14ac:dyDescent="0.35"/>
    <row r="46" spans="1:11" ht="15.75" customHeight="1" x14ac:dyDescent="0.35"/>
    <row r="47" spans="1:11" ht="15.75" customHeight="1" x14ac:dyDescent="0.35"/>
    <row r="48" spans="1:11"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sheetData>
  <mergeCells count="8">
    <mergeCell ref="K4:K5"/>
    <mergeCell ref="A18:A20"/>
    <mergeCell ref="C18:C20"/>
    <mergeCell ref="A2:B2"/>
    <mergeCell ref="A4:A5"/>
    <mergeCell ref="B4:E4"/>
    <mergeCell ref="F4:G4"/>
    <mergeCell ref="H4:J4"/>
  </mergeCells>
  <printOptions horizontalCentered="1" gridLines="1"/>
  <pageMargins left="0.7" right="0.7" top="0.75" bottom="0.75" header="0" footer="0"/>
  <pageSetup scale="24" fitToHeight="0" pageOrder="overThenDown" orientation="landscape" cellComments="atEnd"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48135"/>
    <pageSetUpPr fitToPage="1"/>
  </sheetPr>
  <dimension ref="A1:Z1000"/>
  <sheetViews>
    <sheetView zoomScale="50" zoomScaleNormal="50" workbookViewId="0">
      <pane xSplit="6" ySplit="5" topLeftCell="G18" activePane="bottomRight" state="frozen"/>
      <selection pane="topRight" activeCell="G1" sqref="G1"/>
      <selection pane="bottomLeft" activeCell="A6" sqref="A6"/>
      <selection pane="bottomRight" activeCell="B6" sqref="B6"/>
    </sheetView>
  </sheetViews>
  <sheetFormatPr defaultColWidth="14.453125" defaultRowHeight="15" customHeight="1" x14ac:dyDescent="0.35"/>
  <cols>
    <col min="1" max="1" width="6" customWidth="1"/>
    <col min="2" max="2" width="25.54296875" customWidth="1"/>
    <col min="3" max="3" width="36.81640625" customWidth="1"/>
    <col min="4" max="4" width="45.54296875" customWidth="1"/>
    <col min="5" max="5" width="43" customWidth="1"/>
    <col min="6" max="6" width="34.81640625" customWidth="1"/>
    <col min="7" max="7" width="23.1796875" customWidth="1"/>
    <col min="8" max="8" width="21.54296875" customWidth="1"/>
    <col min="9" max="9" width="27.54296875" customWidth="1"/>
    <col min="10" max="10" width="28.1796875" customWidth="1"/>
    <col min="11" max="11" width="53.54296875" customWidth="1"/>
    <col min="12" max="26" width="8.7265625" customWidth="1"/>
  </cols>
  <sheetData>
    <row r="1" spans="1:26" ht="23.5" x14ac:dyDescent="0.55000000000000004">
      <c r="A1" s="1"/>
      <c r="B1" s="1"/>
      <c r="C1" s="1"/>
      <c r="D1" s="1"/>
      <c r="E1" s="1"/>
      <c r="F1" s="1"/>
      <c r="G1" s="1"/>
      <c r="H1" s="1"/>
      <c r="I1" s="1"/>
      <c r="J1" s="1"/>
      <c r="K1" s="1"/>
      <c r="L1" s="2"/>
      <c r="M1" s="2"/>
      <c r="N1" s="2"/>
      <c r="O1" s="2"/>
      <c r="P1" s="2"/>
      <c r="Q1" s="2"/>
      <c r="R1" s="2"/>
      <c r="S1" s="2"/>
      <c r="T1" s="2"/>
      <c r="U1" s="2"/>
      <c r="V1" s="2"/>
      <c r="W1" s="2"/>
      <c r="X1" s="2"/>
      <c r="Y1" s="2"/>
      <c r="Z1" s="2"/>
    </row>
    <row r="2" spans="1:26" ht="28.5" x14ac:dyDescent="0.65">
      <c r="A2" s="67" t="s">
        <v>114</v>
      </c>
      <c r="B2" s="19"/>
      <c r="C2" s="19"/>
      <c r="D2" s="19"/>
      <c r="E2" s="19"/>
      <c r="F2" s="19"/>
      <c r="G2" s="19"/>
      <c r="H2" s="19"/>
      <c r="I2" s="19"/>
      <c r="J2" s="19"/>
      <c r="K2" s="19"/>
      <c r="L2" s="2"/>
      <c r="M2" s="2"/>
      <c r="N2" s="2"/>
      <c r="O2" s="2"/>
      <c r="P2" s="2"/>
      <c r="Q2" s="2"/>
      <c r="R2" s="2"/>
      <c r="S2" s="2"/>
      <c r="T2" s="2"/>
      <c r="U2" s="2"/>
      <c r="V2" s="2"/>
      <c r="W2" s="2"/>
      <c r="X2" s="2"/>
      <c r="Y2" s="2"/>
      <c r="Z2" s="2"/>
    </row>
    <row r="3" spans="1:26" ht="28.5" x14ac:dyDescent="0.65">
      <c r="A3" s="18"/>
      <c r="B3" s="18"/>
      <c r="C3" s="18"/>
      <c r="D3" s="18"/>
      <c r="E3" s="18"/>
      <c r="F3" s="18"/>
      <c r="G3" s="19"/>
      <c r="H3" s="19"/>
      <c r="I3" s="19"/>
      <c r="J3" s="19"/>
      <c r="K3" s="20" t="s">
        <v>115</v>
      </c>
      <c r="L3" s="2"/>
      <c r="M3" s="2"/>
      <c r="N3" s="2"/>
      <c r="O3" s="2"/>
      <c r="P3" s="2"/>
      <c r="Q3" s="2"/>
      <c r="R3" s="2"/>
      <c r="S3" s="2"/>
      <c r="T3" s="2"/>
      <c r="U3" s="2"/>
      <c r="V3" s="2"/>
      <c r="W3" s="2"/>
      <c r="X3" s="2"/>
      <c r="Y3" s="2"/>
      <c r="Z3" s="2"/>
    </row>
    <row r="4" spans="1:26" ht="28.5" x14ac:dyDescent="0.35">
      <c r="A4" s="119" t="s">
        <v>1</v>
      </c>
      <c r="B4" s="128" t="s">
        <v>116</v>
      </c>
      <c r="C4" s="129"/>
      <c r="D4" s="129"/>
      <c r="E4" s="129"/>
      <c r="F4" s="129"/>
      <c r="G4" s="129"/>
      <c r="H4" s="130"/>
      <c r="I4" s="152" t="s">
        <v>117</v>
      </c>
      <c r="J4" s="152" t="s">
        <v>118</v>
      </c>
      <c r="K4" s="119" t="s">
        <v>3</v>
      </c>
      <c r="L4" s="44"/>
      <c r="M4" s="44"/>
      <c r="N4" s="44"/>
      <c r="O4" s="44"/>
      <c r="P4" s="44"/>
      <c r="Q4" s="44"/>
      <c r="R4" s="44"/>
      <c r="S4" s="44"/>
      <c r="T4" s="44"/>
      <c r="U4" s="44"/>
      <c r="V4" s="44"/>
      <c r="W4" s="44"/>
      <c r="X4" s="44"/>
      <c r="Y4" s="44"/>
      <c r="Z4" s="44"/>
    </row>
    <row r="5" spans="1:26" ht="57" x14ac:dyDescent="0.35">
      <c r="A5" s="125"/>
      <c r="B5" s="68" t="s">
        <v>119</v>
      </c>
      <c r="C5" s="69" t="s">
        <v>120</v>
      </c>
      <c r="D5" s="22" t="s">
        <v>121</v>
      </c>
      <c r="E5" s="69" t="s">
        <v>122</v>
      </c>
      <c r="F5" s="68" t="s">
        <v>123</v>
      </c>
      <c r="G5" s="23" t="s">
        <v>124</v>
      </c>
      <c r="H5" s="22" t="s">
        <v>125</v>
      </c>
      <c r="I5" s="125"/>
      <c r="J5" s="125"/>
      <c r="K5" s="125"/>
      <c r="L5" s="44"/>
      <c r="M5" s="44"/>
      <c r="N5" s="44"/>
      <c r="O5" s="44"/>
      <c r="P5" s="44"/>
      <c r="Q5" s="44"/>
      <c r="R5" s="44"/>
      <c r="S5" s="44"/>
      <c r="T5" s="44"/>
      <c r="U5" s="44"/>
      <c r="V5" s="44"/>
      <c r="W5" s="44"/>
      <c r="X5" s="44"/>
      <c r="Y5" s="44"/>
      <c r="Z5" s="44"/>
    </row>
    <row r="6" spans="1:26" ht="53.5" customHeight="1" x14ac:dyDescent="0.35">
      <c r="A6" s="45">
        <v>1</v>
      </c>
      <c r="B6" s="8" t="s">
        <v>155</v>
      </c>
      <c r="C6" s="8"/>
      <c r="D6" s="8"/>
      <c r="E6" s="8"/>
      <c r="F6" s="25"/>
      <c r="G6" s="51"/>
      <c r="H6" s="25"/>
      <c r="I6" s="25"/>
      <c r="J6" s="169"/>
      <c r="K6" s="169"/>
      <c r="L6" s="47"/>
      <c r="M6" s="47"/>
      <c r="N6" s="47"/>
      <c r="O6" s="47"/>
      <c r="P6" s="47"/>
      <c r="Q6" s="47"/>
      <c r="R6" s="47"/>
      <c r="S6" s="47"/>
      <c r="T6" s="47"/>
      <c r="U6" s="47"/>
      <c r="V6" s="47"/>
      <c r="W6" s="47"/>
      <c r="X6" s="47"/>
      <c r="Y6" s="47"/>
      <c r="Z6" s="47"/>
    </row>
    <row r="7" spans="1:26" ht="43.5" customHeight="1" x14ac:dyDescent="0.35">
      <c r="A7" s="45"/>
      <c r="B7" s="8"/>
      <c r="C7" s="8"/>
      <c r="D7" s="8"/>
      <c r="E7" s="8"/>
      <c r="F7" s="25"/>
      <c r="G7" s="51"/>
      <c r="H7" s="25"/>
      <c r="I7" s="25"/>
      <c r="J7" s="120"/>
      <c r="K7" s="120"/>
      <c r="L7" s="47"/>
      <c r="M7" s="47"/>
      <c r="N7" s="47"/>
      <c r="O7" s="47"/>
      <c r="P7" s="47"/>
      <c r="Q7" s="47"/>
      <c r="R7" s="47"/>
      <c r="S7" s="47"/>
      <c r="T7" s="47"/>
      <c r="U7" s="47"/>
      <c r="V7" s="47"/>
      <c r="W7" s="47"/>
      <c r="X7" s="47"/>
      <c r="Y7" s="47"/>
      <c r="Z7" s="47"/>
    </row>
    <row r="8" spans="1:26" ht="43.5" customHeight="1" x14ac:dyDescent="0.35">
      <c r="A8" s="45"/>
      <c r="B8" s="8"/>
      <c r="C8" s="8"/>
      <c r="D8" s="8"/>
      <c r="E8" s="8"/>
      <c r="F8" s="25"/>
      <c r="G8" s="51"/>
      <c r="H8" s="25"/>
      <c r="I8" s="25"/>
      <c r="J8" s="120"/>
      <c r="K8" s="120"/>
      <c r="L8" s="47"/>
      <c r="M8" s="47"/>
      <c r="N8" s="47"/>
      <c r="O8" s="47"/>
      <c r="P8" s="47"/>
      <c r="Q8" s="47"/>
      <c r="R8" s="47"/>
      <c r="S8" s="47"/>
      <c r="T8" s="47"/>
      <c r="U8" s="47"/>
      <c r="V8" s="47"/>
      <c r="W8" s="47"/>
      <c r="X8" s="47"/>
      <c r="Y8" s="47"/>
      <c r="Z8" s="47"/>
    </row>
    <row r="9" spans="1:26" ht="43.5" customHeight="1" x14ac:dyDescent="0.35">
      <c r="A9" s="45"/>
      <c r="B9" s="8"/>
      <c r="C9" s="8"/>
      <c r="D9" s="8"/>
      <c r="E9" s="8"/>
      <c r="F9" s="25"/>
      <c r="G9" s="51"/>
      <c r="H9" s="25"/>
      <c r="I9" s="25"/>
      <c r="J9" s="120"/>
      <c r="K9" s="120"/>
      <c r="L9" s="47"/>
      <c r="M9" s="47"/>
      <c r="N9" s="47"/>
      <c r="O9" s="47"/>
      <c r="P9" s="47"/>
      <c r="Q9" s="47"/>
      <c r="R9" s="47"/>
      <c r="S9" s="47"/>
      <c r="T9" s="47"/>
      <c r="U9" s="47"/>
      <c r="V9" s="47"/>
      <c r="W9" s="47"/>
      <c r="X9" s="47"/>
      <c r="Y9" s="47"/>
      <c r="Z9" s="47"/>
    </row>
    <row r="10" spans="1:26" ht="43.5" customHeight="1" x14ac:dyDescent="0.35">
      <c r="A10" s="45"/>
      <c r="B10" s="8"/>
      <c r="C10" s="8"/>
      <c r="D10" s="8"/>
      <c r="E10" s="8"/>
      <c r="F10" s="25"/>
      <c r="G10" s="51"/>
      <c r="H10" s="25"/>
      <c r="I10" s="25"/>
      <c r="J10" s="120"/>
      <c r="K10" s="120"/>
      <c r="L10" s="47"/>
      <c r="M10" s="47"/>
      <c r="N10" s="47"/>
      <c r="O10" s="47"/>
      <c r="P10" s="47"/>
      <c r="Q10" s="47"/>
      <c r="R10" s="47"/>
      <c r="S10" s="47"/>
      <c r="T10" s="47"/>
      <c r="U10" s="47"/>
      <c r="V10" s="47"/>
      <c r="W10" s="47"/>
      <c r="X10" s="47"/>
      <c r="Y10" s="47"/>
      <c r="Z10" s="47"/>
    </row>
    <row r="11" spans="1:26" ht="43.5" customHeight="1" x14ac:dyDescent="0.35">
      <c r="A11" s="45"/>
      <c r="B11" s="8"/>
      <c r="C11" s="8"/>
      <c r="D11" s="8"/>
      <c r="E11" s="8"/>
      <c r="F11" s="25"/>
      <c r="G11" s="51"/>
      <c r="H11" s="25"/>
      <c r="I11" s="25"/>
      <c r="J11" s="120"/>
      <c r="K11" s="120"/>
      <c r="L11" s="47"/>
      <c r="M11" s="47"/>
      <c r="N11" s="47"/>
      <c r="O11" s="47"/>
      <c r="P11" s="47"/>
      <c r="Q11" s="47"/>
      <c r="R11" s="47"/>
      <c r="S11" s="47"/>
      <c r="T11" s="47"/>
      <c r="U11" s="47"/>
      <c r="V11" s="47"/>
      <c r="W11" s="47"/>
      <c r="X11" s="47"/>
      <c r="Y11" s="47"/>
      <c r="Z11" s="47"/>
    </row>
    <row r="12" spans="1:26" ht="43.5" customHeight="1" x14ac:dyDescent="0.35">
      <c r="A12" s="45"/>
      <c r="B12" s="8"/>
      <c r="C12" s="8"/>
      <c r="D12" s="8"/>
      <c r="E12" s="8"/>
      <c r="F12" s="25"/>
      <c r="G12" s="51"/>
      <c r="H12" s="25"/>
      <c r="I12" s="25"/>
      <c r="J12" s="120"/>
      <c r="K12" s="120"/>
      <c r="L12" s="47"/>
      <c r="M12" s="47"/>
      <c r="N12" s="47"/>
      <c r="O12" s="47"/>
      <c r="P12" s="47"/>
      <c r="Q12" s="47"/>
      <c r="R12" s="47"/>
      <c r="S12" s="47"/>
      <c r="T12" s="47"/>
      <c r="U12" s="47"/>
      <c r="V12" s="47"/>
      <c r="W12" s="47"/>
      <c r="X12" s="47"/>
      <c r="Y12" s="47"/>
      <c r="Z12" s="47"/>
    </row>
    <row r="13" spans="1:26" ht="43.5" customHeight="1" x14ac:dyDescent="0.35">
      <c r="A13" s="45"/>
      <c r="B13" s="8"/>
      <c r="C13" s="8"/>
      <c r="D13" s="8"/>
      <c r="E13" s="8"/>
      <c r="F13" s="25"/>
      <c r="G13" s="51"/>
      <c r="H13" s="25"/>
      <c r="I13" s="25"/>
      <c r="J13" s="120"/>
      <c r="K13" s="120"/>
      <c r="L13" s="47"/>
      <c r="M13" s="47"/>
      <c r="N13" s="47"/>
      <c r="O13" s="47"/>
      <c r="P13" s="47"/>
      <c r="Q13" s="47"/>
      <c r="R13" s="47"/>
      <c r="S13" s="47"/>
      <c r="T13" s="47"/>
      <c r="U13" s="47"/>
      <c r="V13" s="47"/>
      <c r="W13" s="47"/>
      <c r="X13" s="47"/>
      <c r="Y13" s="47"/>
      <c r="Z13" s="47"/>
    </row>
    <row r="14" spans="1:26" ht="43.5" customHeight="1" x14ac:dyDescent="0.35">
      <c r="A14" s="45"/>
      <c r="B14" s="8"/>
      <c r="C14" s="8"/>
      <c r="D14" s="8"/>
      <c r="E14" s="8"/>
      <c r="F14" s="25"/>
      <c r="G14" s="51"/>
      <c r="H14" s="25"/>
      <c r="I14" s="25"/>
      <c r="J14" s="125"/>
      <c r="K14" s="125"/>
      <c r="L14" s="29"/>
      <c r="M14" s="29"/>
      <c r="N14" s="29"/>
      <c r="O14" s="29"/>
      <c r="P14" s="29"/>
      <c r="Q14" s="29"/>
      <c r="R14" s="29"/>
      <c r="S14" s="29"/>
      <c r="T14" s="29"/>
      <c r="U14" s="29"/>
      <c r="V14" s="29"/>
      <c r="W14" s="29"/>
      <c r="X14" s="29"/>
      <c r="Y14" s="29"/>
      <c r="Z14" s="29"/>
    </row>
    <row r="15" spans="1:26" ht="109.5" customHeight="1" x14ac:dyDescent="0.35">
      <c r="A15" s="70"/>
      <c r="B15" s="83"/>
      <c r="C15" s="83"/>
      <c r="D15" s="83"/>
      <c r="E15" s="83"/>
      <c r="F15" s="82"/>
      <c r="G15" s="51"/>
      <c r="H15" s="82"/>
      <c r="I15" s="45"/>
      <c r="J15" s="45"/>
      <c r="K15" s="104"/>
      <c r="L15" s="2"/>
      <c r="M15" s="2"/>
      <c r="N15" s="2"/>
      <c r="O15" s="2"/>
      <c r="P15" s="2"/>
      <c r="Q15" s="2"/>
      <c r="R15" s="2"/>
      <c r="S15" s="2"/>
      <c r="T15" s="2"/>
      <c r="U15" s="2"/>
      <c r="V15" s="2"/>
      <c r="W15" s="2"/>
      <c r="X15" s="2"/>
      <c r="Y15" s="2"/>
      <c r="Z15" s="2"/>
    </row>
    <row r="16" spans="1:26" ht="35.25" customHeight="1" x14ac:dyDescent="0.65">
      <c r="A16" s="71"/>
      <c r="B16" s="72"/>
      <c r="C16" s="72"/>
      <c r="D16" s="72"/>
      <c r="E16" s="72"/>
      <c r="F16" s="72"/>
      <c r="G16" s="73"/>
      <c r="H16" s="72"/>
      <c r="I16" s="72"/>
      <c r="J16" s="74"/>
      <c r="K16" s="72"/>
      <c r="L16" s="21"/>
      <c r="M16" s="21"/>
      <c r="N16" s="21"/>
      <c r="O16" s="21"/>
      <c r="P16" s="21"/>
      <c r="Q16" s="21"/>
      <c r="R16" s="21"/>
      <c r="S16" s="21"/>
      <c r="T16" s="21"/>
      <c r="U16" s="21"/>
      <c r="V16" s="21"/>
      <c r="W16" s="21"/>
      <c r="X16" s="21"/>
      <c r="Y16" s="21"/>
      <c r="Z16" s="21"/>
    </row>
    <row r="17" spans="1:26" ht="23.5" x14ac:dyDescent="0.55000000000000004">
      <c r="A17" s="75"/>
      <c r="B17" s="76"/>
      <c r="C17" s="76"/>
      <c r="D17" s="76"/>
      <c r="E17" s="76"/>
      <c r="F17" s="76"/>
      <c r="G17" s="77"/>
      <c r="H17" s="76"/>
      <c r="I17" s="76"/>
      <c r="J17" s="78"/>
      <c r="K17" s="76"/>
      <c r="L17" s="21"/>
      <c r="M17" s="21"/>
      <c r="N17" s="21"/>
      <c r="O17" s="21"/>
      <c r="P17" s="21"/>
      <c r="Q17" s="21"/>
      <c r="R17" s="21"/>
      <c r="S17" s="21"/>
      <c r="T17" s="21"/>
      <c r="U17" s="21"/>
      <c r="V17" s="21"/>
      <c r="W17" s="21"/>
      <c r="X17" s="21"/>
      <c r="Y17" s="21"/>
      <c r="Z17" s="21"/>
    </row>
    <row r="18" spans="1:26" ht="23.5" x14ac:dyDescent="0.55000000000000004">
      <c r="A18" s="75"/>
      <c r="B18" s="76"/>
      <c r="C18" s="76"/>
      <c r="D18" s="76"/>
      <c r="E18" s="76"/>
      <c r="F18" s="76"/>
      <c r="G18" s="77"/>
      <c r="H18" s="76"/>
      <c r="I18" s="76"/>
      <c r="J18" s="78"/>
      <c r="K18" s="76"/>
      <c r="L18" s="21"/>
      <c r="M18" s="21"/>
      <c r="N18" s="21"/>
      <c r="O18" s="21"/>
      <c r="P18" s="21"/>
      <c r="Q18" s="21"/>
      <c r="R18" s="21"/>
      <c r="S18" s="21"/>
      <c r="T18" s="21"/>
      <c r="U18" s="21"/>
      <c r="V18" s="21"/>
      <c r="W18" s="21"/>
      <c r="X18" s="21"/>
      <c r="Y18" s="21"/>
      <c r="Z18" s="21"/>
    </row>
    <row r="19" spans="1:26" ht="27.75" customHeight="1" x14ac:dyDescent="0.55000000000000004">
      <c r="A19" s="61"/>
      <c r="B19" s="61"/>
      <c r="C19" s="61"/>
      <c r="D19" s="61"/>
      <c r="E19" s="61"/>
      <c r="F19" s="61"/>
      <c r="G19" s="61"/>
      <c r="H19" s="64"/>
      <c r="I19" s="61" t="s">
        <v>147</v>
      </c>
      <c r="J19" s="61"/>
      <c r="K19" s="61"/>
      <c r="L19" s="2"/>
      <c r="M19" s="2"/>
      <c r="N19" s="2"/>
      <c r="O19" s="2"/>
      <c r="P19" s="2"/>
      <c r="Q19" s="2"/>
      <c r="R19" s="2"/>
      <c r="S19" s="2"/>
      <c r="T19" s="2"/>
      <c r="U19" s="2"/>
      <c r="V19" s="2"/>
      <c r="W19" s="2"/>
      <c r="X19" s="2"/>
      <c r="Y19" s="2"/>
      <c r="Z19" s="2"/>
    </row>
    <row r="20" spans="1:26" ht="23.5" x14ac:dyDescent="0.55000000000000004">
      <c r="A20" s="2"/>
      <c r="B20" s="2"/>
      <c r="C20" s="2"/>
      <c r="D20" s="2"/>
      <c r="E20" s="2"/>
      <c r="F20" s="2"/>
      <c r="G20" s="2"/>
      <c r="H20" s="65"/>
      <c r="I20" s="79" t="s">
        <v>148</v>
      </c>
      <c r="J20" s="80"/>
      <c r="K20" s="2"/>
      <c r="L20" s="2"/>
      <c r="M20" s="2"/>
      <c r="N20" s="2"/>
      <c r="O20" s="2"/>
      <c r="P20" s="2"/>
      <c r="Q20" s="2"/>
      <c r="R20" s="2"/>
      <c r="S20" s="2"/>
      <c r="T20" s="2"/>
      <c r="U20" s="2"/>
      <c r="V20" s="2"/>
      <c r="W20" s="2"/>
      <c r="X20" s="2"/>
      <c r="Y20" s="2"/>
      <c r="Z20" s="2"/>
    </row>
    <row r="21" spans="1:26" ht="15.75" customHeight="1" x14ac:dyDescent="0.55000000000000004">
      <c r="A21" s="2"/>
      <c r="B21" s="2"/>
      <c r="C21" s="2"/>
      <c r="D21" s="2"/>
      <c r="E21" s="2"/>
      <c r="F21" s="2"/>
      <c r="G21" s="2"/>
      <c r="H21" s="66"/>
      <c r="I21" s="79" t="s">
        <v>149</v>
      </c>
      <c r="J21" s="2"/>
      <c r="K21" s="2"/>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7">
    <mergeCell ref="J6:J14"/>
    <mergeCell ref="K6:K14"/>
    <mergeCell ref="A4:A5"/>
    <mergeCell ref="B4:H4"/>
    <mergeCell ref="I4:I5"/>
    <mergeCell ref="J4:J5"/>
    <mergeCell ref="K4:K5"/>
  </mergeCells>
  <pageMargins left="0.25" right="0.25" top="0.75" bottom="0.75" header="0" footer="0"/>
  <pageSetup paperSize="9"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135"/>
    <pageSetUpPr fitToPage="1"/>
  </sheetPr>
  <dimension ref="A1:Z1000"/>
  <sheetViews>
    <sheetView zoomScale="60" zoomScaleNormal="60" workbookViewId="0">
      <pane xSplit="6" ySplit="5" topLeftCell="G6" activePane="bottomRight" state="frozen"/>
      <selection pane="topRight" activeCell="G1" sqref="G1"/>
      <selection pane="bottomLeft" activeCell="A6" sqref="A6"/>
      <selection pane="bottomRight" activeCell="G6" sqref="G6"/>
    </sheetView>
  </sheetViews>
  <sheetFormatPr defaultColWidth="14.453125" defaultRowHeight="15" customHeight="1" x14ac:dyDescent="0.35"/>
  <cols>
    <col min="1" max="1" width="6" customWidth="1"/>
    <col min="2" max="2" width="25.54296875" customWidth="1"/>
    <col min="3" max="3" width="36.81640625" customWidth="1"/>
    <col min="4" max="4" width="45.54296875" customWidth="1"/>
    <col min="5" max="5" width="43" customWidth="1"/>
    <col min="6" max="6" width="34.81640625" customWidth="1"/>
    <col min="7" max="7" width="23.1796875" customWidth="1"/>
    <col min="8" max="8" width="21.54296875" customWidth="1"/>
    <col min="9" max="9" width="27.54296875" customWidth="1"/>
    <col min="10" max="10" width="28.1796875" customWidth="1"/>
    <col min="11" max="11" width="53.54296875" customWidth="1"/>
    <col min="12" max="26" width="8.7265625" customWidth="1"/>
  </cols>
  <sheetData>
    <row r="1" spans="1:26" ht="23.5" x14ac:dyDescent="0.55000000000000004">
      <c r="A1" s="1"/>
      <c r="B1" s="1"/>
      <c r="C1" s="1"/>
      <c r="D1" s="1"/>
      <c r="E1" s="1"/>
      <c r="F1" s="1"/>
      <c r="G1" s="1"/>
      <c r="H1" s="1"/>
      <c r="I1" s="1"/>
      <c r="J1" s="1"/>
      <c r="K1" s="1"/>
      <c r="L1" s="2"/>
      <c r="M1" s="2"/>
      <c r="N1" s="2"/>
      <c r="O1" s="2"/>
      <c r="P1" s="2"/>
      <c r="Q1" s="2"/>
      <c r="R1" s="2"/>
      <c r="S1" s="2"/>
      <c r="T1" s="2"/>
      <c r="U1" s="2"/>
      <c r="V1" s="2"/>
      <c r="W1" s="2"/>
      <c r="X1" s="2"/>
      <c r="Y1" s="2"/>
      <c r="Z1" s="2"/>
    </row>
    <row r="2" spans="1:26" ht="28.5" x14ac:dyDescent="0.65">
      <c r="A2" s="67" t="s">
        <v>114</v>
      </c>
      <c r="B2" s="19"/>
      <c r="C2" s="19"/>
      <c r="D2" s="19"/>
      <c r="E2" s="19"/>
      <c r="F2" s="19"/>
      <c r="G2" s="19"/>
      <c r="H2" s="19"/>
      <c r="I2" s="19"/>
      <c r="J2" s="19"/>
      <c r="K2" s="19"/>
      <c r="L2" s="2"/>
      <c r="M2" s="2"/>
      <c r="N2" s="2"/>
      <c r="O2" s="2"/>
      <c r="P2" s="2"/>
      <c r="Q2" s="2"/>
      <c r="R2" s="2"/>
      <c r="S2" s="2"/>
      <c r="T2" s="2"/>
      <c r="U2" s="2"/>
      <c r="V2" s="2"/>
      <c r="W2" s="2"/>
      <c r="X2" s="2"/>
      <c r="Y2" s="2"/>
      <c r="Z2" s="2"/>
    </row>
    <row r="3" spans="1:26" ht="28.5" x14ac:dyDescent="0.65">
      <c r="A3" s="18"/>
      <c r="B3" s="18"/>
      <c r="C3" s="18"/>
      <c r="D3" s="18"/>
      <c r="E3" s="18"/>
      <c r="F3" s="18"/>
      <c r="G3" s="19"/>
      <c r="H3" s="19"/>
      <c r="I3" s="19"/>
      <c r="J3" s="19"/>
      <c r="K3" s="20" t="s">
        <v>115</v>
      </c>
      <c r="L3" s="2"/>
      <c r="M3" s="2"/>
      <c r="N3" s="2"/>
      <c r="O3" s="2"/>
      <c r="P3" s="2"/>
      <c r="Q3" s="2"/>
      <c r="R3" s="2"/>
      <c r="S3" s="2"/>
      <c r="T3" s="2"/>
      <c r="U3" s="2"/>
      <c r="V3" s="2"/>
      <c r="W3" s="2"/>
      <c r="X3" s="2"/>
      <c r="Y3" s="2"/>
      <c r="Z3" s="2"/>
    </row>
    <row r="4" spans="1:26" ht="28.5" x14ac:dyDescent="0.35">
      <c r="A4" s="119" t="s">
        <v>1</v>
      </c>
      <c r="B4" s="128" t="s">
        <v>116</v>
      </c>
      <c r="C4" s="129"/>
      <c r="D4" s="129"/>
      <c r="E4" s="129"/>
      <c r="F4" s="129"/>
      <c r="G4" s="129"/>
      <c r="H4" s="130"/>
      <c r="I4" s="152" t="s">
        <v>117</v>
      </c>
      <c r="J4" s="152" t="s">
        <v>118</v>
      </c>
      <c r="K4" s="119" t="s">
        <v>3</v>
      </c>
      <c r="L4" s="44"/>
      <c r="M4" s="44"/>
      <c r="N4" s="44"/>
      <c r="O4" s="44"/>
      <c r="P4" s="44"/>
      <c r="Q4" s="44"/>
      <c r="R4" s="44"/>
      <c r="S4" s="44"/>
      <c r="T4" s="44"/>
      <c r="U4" s="44"/>
      <c r="V4" s="44"/>
      <c r="W4" s="44"/>
      <c r="X4" s="44"/>
      <c r="Y4" s="44"/>
      <c r="Z4" s="44"/>
    </row>
    <row r="5" spans="1:26" ht="57" x14ac:dyDescent="0.35">
      <c r="A5" s="125"/>
      <c r="B5" s="68" t="s">
        <v>119</v>
      </c>
      <c r="C5" s="69" t="s">
        <v>120</v>
      </c>
      <c r="D5" s="22" t="s">
        <v>121</v>
      </c>
      <c r="E5" s="69" t="s">
        <v>122</v>
      </c>
      <c r="F5" s="68" t="s">
        <v>123</v>
      </c>
      <c r="G5" s="23" t="s">
        <v>124</v>
      </c>
      <c r="H5" s="22" t="s">
        <v>125</v>
      </c>
      <c r="I5" s="125"/>
      <c r="J5" s="125"/>
      <c r="K5" s="125"/>
      <c r="L5" s="44"/>
      <c r="M5" s="44"/>
      <c r="N5" s="44"/>
      <c r="O5" s="44"/>
      <c r="P5" s="44"/>
      <c r="Q5" s="44"/>
      <c r="R5" s="44"/>
      <c r="S5" s="44"/>
      <c r="T5" s="44"/>
      <c r="U5" s="44"/>
      <c r="V5" s="44"/>
      <c r="W5" s="44"/>
      <c r="X5" s="44"/>
      <c r="Y5" s="44"/>
      <c r="Z5" s="44"/>
    </row>
    <row r="6" spans="1:26" ht="43.5" customHeight="1" x14ac:dyDescent="0.35">
      <c r="A6" s="45">
        <v>1</v>
      </c>
      <c r="B6" s="8" t="s">
        <v>126</v>
      </c>
      <c r="C6" s="8" t="s">
        <v>127</v>
      </c>
      <c r="D6" s="8" t="s">
        <v>128</v>
      </c>
      <c r="E6" s="8" t="s">
        <v>129</v>
      </c>
      <c r="F6" s="25" t="s">
        <v>130</v>
      </c>
      <c r="G6" s="51">
        <v>44203</v>
      </c>
      <c r="H6" s="25">
        <v>8882</v>
      </c>
      <c r="I6" s="25">
        <v>327</v>
      </c>
      <c r="J6" s="169" t="s">
        <v>131</v>
      </c>
      <c r="K6" s="169" t="s">
        <v>132</v>
      </c>
      <c r="L6" s="47"/>
      <c r="M6" s="47"/>
      <c r="N6" s="47"/>
      <c r="O6" s="47"/>
      <c r="P6" s="47"/>
      <c r="Q6" s="47"/>
      <c r="R6" s="47"/>
      <c r="S6" s="47"/>
      <c r="T6" s="47"/>
      <c r="U6" s="47"/>
      <c r="V6" s="47"/>
      <c r="W6" s="47"/>
      <c r="X6" s="47"/>
      <c r="Y6" s="47"/>
      <c r="Z6" s="47"/>
    </row>
    <row r="7" spans="1:26" ht="43.5" customHeight="1" x14ac:dyDescent="0.35">
      <c r="A7" s="45">
        <v>2</v>
      </c>
      <c r="B7" s="8" t="s">
        <v>126</v>
      </c>
      <c r="C7" s="8" t="s">
        <v>127</v>
      </c>
      <c r="D7" s="8" t="s">
        <v>128</v>
      </c>
      <c r="E7" s="8" t="s">
        <v>129</v>
      </c>
      <c r="F7" s="25" t="s">
        <v>133</v>
      </c>
      <c r="G7" s="51">
        <v>44203</v>
      </c>
      <c r="H7" s="25">
        <v>8883</v>
      </c>
      <c r="I7" s="25">
        <v>130</v>
      </c>
      <c r="J7" s="120"/>
      <c r="K7" s="120"/>
      <c r="L7" s="47"/>
      <c r="M7" s="47"/>
      <c r="N7" s="47"/>
      <c r="O7" s="47"/>
      <c r="P7" s="47"/>
      <c r="Q7" s="47"/>
      <c r="R7" s="47"/>
      <c r="S7" s="47"/>
      <c r="T7" s="47"/>
      <c r="U7" s="47"/>
      <c r="V7" s="47"/>
      <c r="W7" s="47"/>
      <c r="X7" s="47"/>
      <c r="Y7" s="47"/>
      <c r="Z7" s="47"/>
    </row>
    <row r="8" spans="1:26" ht="43.5" customHeight="1" x14ac:dyDescent="0.35">
      <c r="A8" s="45">
        <v>3</v>
      </c>
      <c r="B8" s="8" t="s">
        <v>126</v>
      </c>
      <c r="C8" s="8" t="s">
        <v>127</v>
      </c>
      <c r="D8" s="8" t="s">
        <v>128</v>
      </c>
      <c r="E8" s="8" t="s">
        <v>129</v>
      </c>
      <c r="F8" s="25" t="s">
        <v>134</v>
      </c>
      <c r="G8" s="51">
        <v>44203</v>
      </c>
      <c r="H8" s="25">
        <v>8884</v>
      </c>
      <c r="I8" s="25">
        <v>130</v>
      </c>
      <c r="J8" s="120"/>
      <c r="K8" s="120"/>
      <c r="L8" s="47"/>
      <c r="M8" s="47"/>
      <c r="N8" s="47"/>
      <c r="O8" s="47"/>
      <c r="P8" s="47"/>
      <c r="Q8" s="47"/>
      <c r="R8" s="47"/>
      <c r="S8" s="47"/>
      <c r="T8" s="47"/>
      <c r="U8" s="47"/>
      <c r="V8" s="47"/>
      <c r="W8" s="47"/>
      <c r="X8" s="47"/>
      <c r="Y8" s="47"/>
      <c r="Z8" s="47"/>
    </row>
    <row r="9" spans="1:26" ht="43.5" customHeight="1" x14ac:dyDescent="0.35">
      <c r="A9" s="45">
        <v>4</v>
      </c>
      <c r="B9" s="8" t="s">
        <v>126</v>
      </c>
      <c r="C9" s="8" t="s">
        <v>127</v>
      </c>
      <c r="D9" s="8" t="s">
        <v>128</v>
      </c>
      <c r="E9" s="8" t="s">
        <v>129</v>
      </c>
      <c r="F9" s="25" t="s">
        <v>135</v>
      </c>
      <c r="G9" s="51">
        <v>44203</v>
      </c>
      <c r="H9" s="25">
        <v>8885</v>
      </c>
      <c r="I9" s="25">
        <v>130</v>
      </c>
      <c r="J9" s="120"/>
      <c r="K9" s="120"/>
      <c r="L9" s="47"/>
      <c r="M9" s="47"/>
      <c r="N9" s="47"/>
      <c r="O9" s="47"/>
      <c r="P9" s="47"/>
      <c r="Q9" s="47"/>
      <c r="R9" s="47"/>
      <c r="S9" s="47"/>
      <c r="T9" s="47"/>
      <c r="U9" s="47"/>
      <c r="V9" s="47"/>
      <c r="W9" s="47"/>
      <c r="X9" s="47"/>
      <c r="Y9" s="47"/>
      <c r="Z9" s="47"/>
    </row>
    <row r="10" spans="1:26" ht="43.5" customHeight="1" x14ac:dyDescent="0.35">
      <c r="A10" s="45">
        <v>5</v>
      </c>
      <c r="B10" s="8" t="s">
        <v>126</v>
      </c>
      <c r="C10" s="8" t="s">
        <v>127</v>
      </c>
      <c r="D10" s="8" t="s">
        <v>128</v>
      </c>
      <c r="E10" s="8" t="s">
        <v>129</v>
      </c>
      <c r="F10" s="25" t="s">
        <v>136</v>
      </c>
      <c r="G10" s="51">
        <v>44203</v>
      </c>
      <c r="H10" s="25">
        <v>8886</v>
      </c>
      <c r="I10" s="25">
        <v>130</v>
      </c>
      <c r="J10" s="120"/>
      <c r="K10" s="120"/>
      <c r="L10" s="47"/>
      <c r="M10" s="47"/>
      <c r="N10" s="47"/>
      <c r="O10" s="47"/>
      <c r="P10" s="47"/>
      <c r="Q10" s="47"/>
      <c r="R10" s="47"/>
      <c r="S10" s="47"/>
      <c r="T10" s="47"/>
      <c r="U10" s="47"/>
      <c r="V10" s="47"/>
      <c r="W10" s="47"/>
      <c r="X10" s="47"/>
      <c r="Y10" s="47"/>
      <c r="Z10" s="47"/>
    </row>
    <row r="11" spans="1:26" ht="43.5" customHeight="1" x14ac:dyDescent="0.35">
      <c r="A11" s="45">
        <v>6</v>
      </c>
      <c r="B11" s="8" t="s">
        <v>126</v>
      </c>
      <c r="C11" s="8" t="s">
        <v>127</v>
      </c>
      <c r="D11" s="8" t="s">
        <v>128</v>
      </c>
      <c r="E11" s="8" t="s">
        <v>129</v>
      </c>
      <c r="F11" s="25" t="s">
        <v>137</v>
      </c>
      <c r="G11" s="51">
        <v>44203</v>
      </c>
      <c r="H11" s="25">
        <v>8887</v>
      </c>
      <c r="I11" s="25">
        <v>130</v>
      </c>
      <c r="J11" s="120"/>
      <c r="K11" s="120"/>
      <c r="L11" s="47"/>
      <c r="M11" s="47"/>
      <c r="N11" s="47"/>
      <c r="O11" s="47"/>
      <c r="P11" s="47"/>
      <c r="Q11" s="47"/>
      <c r="R11" s="47"/>
      <c r="S11" s="47"/>
      <c r="T11" s="47"/>
      <c r="U11" s="47"/>
      <c r="V11" s="47"/>
      <c r="W11" s="47"/>
      <c r="X11" s="47"/>
      <c r="Y11" s="47"/>
      <c r="Z11" s="47"/>
    </row>
    <row r="12" spans="1:26" ht="43.5" customHeight="1" x14ac:dyDescent="0.35">
      <c r="A12" s="45">
        <v>7</v>
      </c>
      <c r="B12" s="8" t="s">
        <v>126</v>
      </c>
      <c r="C12" s="8" t="s">
        <v>127</v>
      </c>
      <c r="D12" s="8" t="s">
        <v>128</v>
      </c>
      <c r="E12" s="8" t="s">
        <v>129</v>
      </c>
      <c r="F12" s="25" t="s">
        <v>138</v>
      </c>
      <c r="G12" s="51">
        <v>44203</v>
      </c>
      <c r="H12" s="25">
        <v>8888</v>
      </c>
      <c r="I12" s="25">
        <v>131</v>
      </c>
      <c r="J12" s="120"/>
      <c r="K12" s="120"/>
      <c r="L12" s="47"/>
      <c r="M12" s="47"/>
      <c r="N12" s="47"/>
      <c r="O12" s="47"/>
      <c r="P12" s="47"/>
      <c r="Q12" s="47"/>
      <c r="R12" s="47"/>
      <c r="S12" s="47"/>
      <c r="T12" s="47"/>
      <c r="U12" s="47"/>
      <c r="V12" s="47"/>
      <c r="W12" s="47"/>
      <c r="X12" s="47"/>
      <c r="Y12" s="47"/>
      <c r="Z12" s="47"/>
    </row>
    <row r="13" spans="1:26" ht="43.5" customHeight="1" x14ac:dyDescent="0.35">
      <c r="A13" s="45">
        <v>8</v>
      </c>
      <c r="B13" s="8" t="s">
        <v>126</v>
      </c>
      <c r="C13" s="8" t="s">
        <v>127</v>
      </c>
      <c r="D13" s="8" t="s">
        <v>128</v>
      </c>
      <c r="E13" s="8" t="s">
        <v>129</v>
      </c>
      <c r="F13" s="25" t="s">
        <v>139</v>
      </c>
      <c r="G13" s="51">
        <v>44203</v>
      </c>
      <c r="H13" s="25">
        <v>8889</v>
      </c>
      <c r="I13" s="25">
        <v>209</v>
      </c>
      <c r="J13" s="120"/>
      <c r="K13" s="120"/>
      <c r="L13" s="47"/>
      <c r="M13" s="47"/>
      <c r="N13" s="47"/>
      <c r="O13" s="47"/>
      <c r="P13" s="47"/>
      <c r="Q13" s="47"/>
      <c r="R13" s="47"/>
      <c r="S13" s="47"/>
      <c r="T13" s="47"/>
      <c r="U13" s="47"/>
      <c r="V13" s="47"/>
      <c r="W13" s="47"/>
      <c r="X13" s="47"/>
      <c r="Y13" s="47"/>
      <c r="Z13" s="47"/>
    </row>
    <row r="14" spans="1:26" ht="43.5" customHeight="1" x14ac:dyDescent="0.35">
      <c r="A14" s="45">
        <v>9</v>
      </c>
      <c r="B14" s="8" t="s">
        <v>126</v>
      </c>
      <c r="C14" s="8" t="s">
        <v>127</v>
      </c>
      <c r="D14" s="8" t="s">
        <v>128</v>
      </c>
      <c r="E14" s="8" t="s">
        <v>129</v>
      </c>
      <c r="F14" s="25" t="s">
        <v>140</v>
      </c>
      <c r="G14" s="51">
        <v>44395</v>
      </c>
      <c r="H14" s="25">
        <v>9017</v>
      </c>
      <c r="I14" s="25">
        <v>2196</v>
      </c>
      <c r="J14" s="125"/>
      <c r="K14" s="125"/>
      <c r="L14" s="29"/>
      <c r="M14" s="29"/>
      <c r="N14" s="29"/>
      <c r="O14" s="29"/>
      <c r="P14" s="29"/>
      <c r="Q14" s="29"/>
      <c r="R14" s="29"/>
      <c r="S14" s="29"/>
      <c r="T14" s="29"/>
      <c r="U14" s="29"/>
      <c r="V14" s="29"/>
      <c r="W14" s="29"/>
      <c r="X14" s="29"/>
      <c r="Y14" s="29"/>
      <c r="Z14" s="29"/>
    </row>
    <row r="15" spans="1:26" ht="109.5" customHeight="1" x14ac:dyDescent="0.35">
      <c r="A15" s="70">
        <v>10</v>
      </c>
      <c r="B15" s="83" t="s">
        <v>126</v>
      </c>
      <c r="C15" s="83" t="s">
        <v>141</v>
      </c>
      <c r="D15" s="83" t="s">
        <v>142</v>
      </c>
      <c r="E15" s="83" t="s">
        <v>143</v>
      </c>
      <c r="F15" s="82" t="s">
        <v>144</v>
      </c>
      <c r="G15" s="51">
        <v>26510</v>
      </c>
      <c r="H15" s="82">
        <v>5917</v>
      </c>
      <c r="I15" s="45">
        <v>1158433.567</v>
      </c>
      <c r="J15" s="45" t="s">
        <v>145</v>
      </c>
      <c r="K15" s="58" t="s">
        <v>146</v>
      </c>
      <c r="L15" s="2"/>
      <c r="M15" s="2"/>
      <c r="N15" s="2"/>
      <c r="O15" s="2"/>
      <c r="P15" s="2"/>
      <c r="Q15" s="2"/>
      <c r="R15" s="2"/>
      <c r="S15" s="2"/>
      <c r="T15" s="2"/>
      <c r="U15" s="2"/>
      <c r="V15" s="2"/>
      <c r="W15" s="2"/>
      <c r="X15" s="2"/>
      <c r="Y15" s="2"/>
      <c r="Z15" s="2"/>
    </row>
    <row r="16" spans="1:26" ht="35.25" customHeight="1" x14ac:dyDescent="0.65">
      <c r="A16" s="71"/>
      <c r="B16" s="72"/>
      <c r="C16" s="72"/>
      <c r="D16" s="72"/>
      <c r="E16" s="72"/>
      <c r="F16" s="72"/>
      <c r="G16" s="73"/>
      <c r="H16" s="72"/>
      <c r="I16" s="72"/>
      <c r="J16" s="74"/>
      <c r="K16" s="72"/>
      <c r="L16" s="21"/>
      <c r="M16" s="21"/>
      <c r="N16" s="21"/>
      <c r="O16" s="21"/>
      <c r="P16" s="21"/>
      <c r="Q16" s="21"/>
      <c r="R16" s="21"/>
      <c r="S16" s="21"/>
      <c r="T16" s="21"/>
      <c r="U16" s="21"/>
      <c r="V16" s="21"/>
      <c r="W16" s="21"/>
      <c r="X16" s="21"/>
      <c r="Y16" s="21"/>
      <c r="Z16" s="21"/>
    </row>
    <row r="17" spans="1:26" ht="23.5" x14ac:dyDescent="0.55000000000000004">
      <c r="A17" s="75"/>
      <c r="B17" s="76"/>
      <c r="C17" s="76"/>
      <c r="D17" s="76"/>
      <c r="E17" s="76"/>
      <c r="F17" s="76"/>
      <c r="G17" s="77"/>
      <c r="H17" s="76"/>
      <c r="I17" s="76"/>
      <c r="J17" s="78"/>
      <c r="K17" s="76"/>
      <c r="L17" s="21"/>
      <c r="M17" s="21"/>
      <c r="N17" s="21"/>
      <c r="O17" s="21"/>
      <c r="P17" s="21"/>
      <c r="Q17" s="21"/>
      <c r="R17" s="21"/>
      <c r="S17" s="21"/>
      <c r="T17" s="21"/>
      <c r="U17" s="21"/>
      <c r="V17" s="21"/>
      <c r="W17" s="21"/>
      <c r="X17" s="21"/>
      <c r="Y17" s="21"/>
      <c r="Z17" s="21"/>
    </row>
    <row r="18" spans="1:26" ht="23.5" x14ac:dyDescent="0.55000000000000004">
      <c r="A18" s="75"/>
      <c r="B18" s="76"/>
      <c r="C18" s="76"/>
      <c r="D18" s="76"/>
      <c r="E18" s="76"/>
      <c r="F18" s="76"/>
      <c r="G18" s="77"/>
      <c r="H18" s="76"/>
      <c r="I18" s="76"/>
      <c r="J18" s="78"/>
      <c r="K18" s="76"/>
      <c r="L18" s="21"/>
      <c r="M18" s="21"/>
      <c r="N18" s="21"/>
      <c r="O18" s="21"/>
      <c r="P18" s="21"/>
      <c r="Q18" s="21"/>
      <c r="R18" s="21"/>
      <c r="S18" s="21"/>
      <c r="T18" s="21"/>
      <c r="U18" s="21"/>
      <c r="V18" s="21"/>
      <c r="W18" s="21"/>
      <c r="X18" s="21"/>
      <c r="Y18" s="21"/>
      <c r="Z18" s="21"/>
    </row>
    <row r="19" spans="1:26" ht="27.75" customHeight="1" x14ac:dyDescent="0.55000000000000004">
      <c r="A19" s="61"/>
      <c r="B19" s="61"/>
      <c r="C19" s="61"/>
      <c r="D19" s="61"/>
      <c r="E19" s="61"/>
      <c r="F19" s="61"/>
      <c r="G19" s="61"/>
      <c r="H19" s="64"/>
      <c r="I19" s="61" t="s">
        <v>147</v>
      </c>
      <c r="J19" s="61"/>
      <c r="K19" s="61"/>
      <c r="L19" s="2"/>
      <c r="M19" s="2"/>
      <c r="N19" s="2"/>
      <c r="O19" s="2"/>
      <c r="P19" s="2"/>
      <c r="Q19" s="2"/>
      <c r="R19" s="2"/>
      <c r="S19" s="2"/>
      <c r="T19" s="2"/>
      <c r="U19" s="2"/>
      <c r="V19" s="2"/>
      <c r="W19" s="2"/>
      <c r="X19" s="2"/>
      <c r="Y19" s="2"/>
      <c r="Z19" s="2"/>
    </row>
    <row r="20" spans="1:26" ht="23.5" x14ac:dyDescent="0.55000000000000004">
      <c r="A20" s="2"/>
      <c r="B20" s="2"/>
      <c r="C20" s="2"/>
      <c r="D20" s="2"/>
      <c r="E20" s="2"/>
      <c r="F20" s="2"/>
      <c r="G20" s="2"/>
      <c r="H20" s="65"/>
      <c r="I20" s="79" t="s">
        <v>148</v>
      </c>
      <c r="J20" s="80"/>
      <c r="K20" s="2"/>
      <c r="L20" s="2"/>
      <c r="M20" s="2"/>
      <c r="N20" s="2"/>
      <c r="O20" s="2"/>
      <c r="P20" s="2"/>
      <c r="Q20" s="2"/>
      <c r="R20" s="2"/>
      <c r="S20" s="2"/>
      <c r="T20" s="2"/>
      <c r="U20" s="2"/>
      <c r="V20" s="2"/>
      <c r="W20" s="2"/>
      <c r="X20" s="2"/>
      <c r="Y20" s="2"/>
      <c r="Z20" s="2"/>
    </row>
    <row r="21" spans="1:26" ht="15.75" customHeight="1" x14ac:dyDescent="0.55000000000000004">
      <c r="A21" s="2"/>
      <c r="B21" s="2"/>
      <c r="C21" s="2"/>
      <c r="D21" s="2"/>
      <c r="E21" s="2"/>
      <c r="F21" s="2"/>
      <c r="G21" s="2"/>
      <c r="H21" s="66"/>
      <c r="I21" s="79" t="s">
        <v>149</v>
      </c>
      <c r="J21" s="2"/>
      <c r="K21" s="2"/>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7">
    <mergeCell ref="J6:J14"/>
    <mergeCell ref="K6:K14"/>
    <mergeCell ref="A4:A5"/>
    <mergeCell ref="B4:H4"/>
    <mergeCell ref="I4:I5"/>
    <mergeCell ref="J4:J5"/>
    <mergeCell ref="K4:K5"/>
  </mergeCells>
  <pageMargins left="0.25" right="0.25" top="0.75" bottom="0.75" header="0" footer="0"/>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135"/>
    <pageSetUpPr fitToPage="1"/>
  </sheetPr>
  <dimension ref="A1:Z1000"/>
  <sheetViews>
    <sheetView workbookViewId="0">
      <pane xSplit="6" ySplit="5" topLeftCell="G6" activePane="bottomRight" state="frozen"/>
      <selection pane="topRight" activeCell="G1" sqref="G1"/>
      <selection pane="bottomLeft" activeCell="A6" sqref="A6"/>
      <selection pane="bottomRight" activeCell="G6" sqref="G6"/>
    </sheetView>
  </sheetViews>
  <sheetFormatPr defaultColWidth="14.453125" defaultRowHeight="15" customHeight="1" x14ac:dyDescent="0.35"/>
  <cols>
    <col min="1" max="1" width="6" customWidth="1"/>
    <col min="2" max="2" width="25.54296875" customWidth="1"/>
    <col min="3" max="3" width="36.81640625" customWidth="1"/>
    <col min="4" max="4" width="45.54296875" customWidth="1"/>
    <col min="5" max="5" width="43" customWidth="1"/>
    <col min="6" max="6" width="34.81640625" customWidth="1"/>
    <col min="7" max="7" width="23.1796875" customWidth="1"/>
    <col min="8" max="8" width="21.54296875" customWidth="1"/>
    <col min="9" max="9" width="27.54296875" customWidth="1"/>
    <col min="10" max="10" width="28.1796875" customWidth="1"/>
    <col min="11" max="11" width="53.54296875" customWidth="1"/>
    <col min="12" max="26" width="8.7265625" customWidth="1"/>
  </cols>
  <sheetData>
    <row r="1" spans="1:26" ht="23.5" x14ac:dyDescent="0.55000000000000004">
      <c r="A1" s="1"/>
      <c r="B1" s="1"/>
      <c r="C1" s="1"/>
      <c r="D1" s="1"/>
      <c r="E1" s="1"/>
      <c r="F1" s="1"/>
      <c r="G1" s="1"/>
      <c r="H1" s="1"/>
      <c r="I1" s="1"/>
      <c r="J1" s="1"/>
      <c r="K1" s="1"/>
      <c r="L1" s="2"/>
      <c r="M1" s="2"/>
      <c r="N1" s="2"/>
      <c r="O1" s="2"/>
      <c r="P1" s="2"/>
      <c r="Q1" s="2"/>
      <c r="R1" s="2"/>
      <c r="S1" s="2"/>
      <c r="T1" s="2"/>
      <c r="U1" s="2"/>
      <c r="V1" s="2"/>
      <c r="W1" s="2"/>
      <c r="X1" s="2"/>
      <c r="Y1" s="2"/>
      <c r="Z1" s="2"/>
    </row>
    <row r="2" spans="1:26" ht="28.5" x14ac:dyDescent="0.65">
      <c r="A2" s="67" t="s">
        <v>114</v>
      </c>
      <c r="B2" s="19"/>
      <c r="C2" s="19"/>
      <c r="D2" s="19"/>
      <c r="E2" s="19"/>
      <c r="F2" s="19"/>
      <c r="G2" s="19"/>
      <c r="H2" s="19"/>
      <c r="I2" s="19"/>
      <c r="J2" s="19"/>
      <c r="K2" s="19"/>
      <c r="L2" s="2"/>
      <c r="M2" s="2"/>
      <c r="N2" s="2"/>
      <c r="O2" s="2"/>
      <c r="P2" s="2"/>
      <c r="Q2" s="2"/>
      <c r="R2" s="2"/>
      <c r="S2" s="2"/>
      <c r="T2" s="2"/>
      <c r="U2" s="2"/>
      <c r="V2" s="2"/>
      <c r="W2" s="2"/>
      <c r="X2" s="2"/>
      <c r="Y2" s="2"/>
      <c r="Z2" s="2"/>
    </row>
    <row r="3" spans="1:26" ht="28.5" x14ac:dyDescent="0.65">
      <c r="A3" s="18"/>
      <c r="B3" s="18"/>
      <c r="C3" s="18"/>
      <c r="D3" s="18"/>
      <c r="E3" s="18"/>
      <c r="F3" s="18"/>
      <c r="G3" s="19"/>
      <c r="H3" s="19"/>
      <c r="I3" s="19"/>
      <c r="J3" s="19"/>
      <c r="K3" s="20" t="s">
        <v>115</v>
      </c>
      <c r="L3" s="2"/>
      <c r="M3" s="2"/>
      <c r="N3" s="2"/>
      <c r="O3" s="2"/>
      <c r="P3" s="2"/>
      <c r="Q3" s="2"/>
      <c r="R3" s="2"/>
      <c r="S3" s="2"/>
      <c r="T3" s="2"/>
      <c r="U3" s="2"/>
      <c r="V3" s="2"/>
      <c r="W3" s="2"/>
      <c r="X3" s="2"/>
      <c r="Y3" s="2"/>
      <c r="Z3" s="2"/>
    </row>
    <row r="4" spans="1:26" ht="28.5" x14ac:dyDescent="0.35">
      <c r="A4" s="119" t="s">
        <v>1</v>
      </c>
      <c r="B4" s="128" t="s">
        <v>116</v>
      </c>
      <c r="C4" s="129"/>
      <c r="D4" s="129"/>
      <c r="E4" s="129"/>
      <c r="F4" s="129"/>
      <c r="G4" s="129"/>
      <c r="H4" s="130"/>
      <c r="I4" s="152" t="s">
        <v>117</v>
      </c>
      <c r="J4" s="152" t="s">
        <v>118</v>
      </c>
      <c r="K4" s="119" t="s">
        <v>3</v>
      </c>
      <c r="L4" s="44"/>
      <c r="M4" s="44"/>
      <c r="N4" s="44"/>
      <c r="O4" s="44"/>
      <c r="P4" s="44"/>
      <c r="Q4" s="44"/>
      <c r="R4" s="44"/>
      <c r="S4" s="44"/>
      <c r="T4" s="44"/>
      <c r="U4" s="44"/>
      <c r="V4" s="44"/>
      <c r="W4" s="44"/>
      <c r="X4" s="44"/>
      <c r="Y4" s="44"/>
      <c r="Z4" s="44"/>
    </row>
    <row r="5" spans="1:26" ht="57" x14ac:dyDescent="0.35">
      <c r="A5" s="125"/>
      <c r="B5" s="68" t="s">
        <v>119</v>
      </c>
      <c r="C5" s="69" t="s">
        <v>120</v>
      </c>
      <c r="D5" s="22" t="s">
        <v>121</v>
      </c>
      <c r="E5" s="69" t="s">
        <v>122</v>
      </c>
      <c r="F5" s="68" t="s">
        <v>123</v>
      </c>
      <c r="G5" s="23" t="s">
        <v>124</v>
      </c>
      <c r="H5" s="22" t="s">
        <v>125</v>
      </c>
      <c r="I5" s="125"/>
      <c r="J5" s="125"/>
      <c r="K5" s="125"/>
      <c r="L5" s="44"/>
      <c r="M5" s="44"/>
      <c r="N5" s="44"/>
      <c r="O5" s="44"/>
      <c r="P5" s="44"/>
      <c r="Q5" s="44"/>
      <c r="R5" s="44"/>
      <c r="S5" s="44"/>
      <c r="T5" s="44"/>
      <c r="U5" s="44"/>
      <c r="V5" s="44"/>
      <c r="W5" s="44"/>
      <c r="X5" s="44"/>
      <c r="Y5" s="44"/>
      <c r="Z5" s="44"/>
    </row>
    <row r="6" spans="1:26" ht="43.5" customHeight="1" x14ac:dyDescent="0.35">
      <c r="A6" s="45">
        <v>1</v>
      </c>
      <c r="B6" s="8"/>
      <c r="C6" s="8"/>
      <c r="D6" s="8"/>
      <c r="E6" s="8"/>
      <c r="F6" s="25"/>
      <c r="G6" s="51"/>
      <c r="H6" s="25"/>
      <c r="I6" s="25"/>
      <c r="J6" s="169"/>
      <c r="K6" s="169"/>
      <c r="L6" s="47"/>
      <c r="M6" s="47"/>
      <c r="N6" s="47"/>
      <c r="O6" s="47"/>
      <c r="P6" s="47"/>
      <c r="Q6" s="47"/>
      <c r="R6" s="47"/>
      <c r="S6" s="47"/>
      <c r="T6" s="47"/>
      <c r="U6" s="47"/>
      <c r="V6" s="47"/>
      <c r="W6" s="47"/>
      <c r="X6" s="47"/>
      <c r="Y6" s="47"/>
      <c r="Z6" s="47"/>
    </row>
    <row r="7" spans="1:26" ht="43.5" customHeight="1" x14ac:dyDescent="0.35">
      <c r="A7" s="45">
        <v>2</v>
      </c>
      <c r="B7" s="8"/>
      <c r="C7" s="8"/>
      <c r="D7" s="8"/>
      <c r="E7" s="8"/>
      <c r="F7" s="25"/>
      <c r="G7" s="51"/>
      <c r="H7" s="25"/>
      <c r="I7" s="25"/>
      <c r="J7" s="120"/>
      <c r="K7" s="120"/>
      <c r="L7" s="47"/>
      <c r="M7" s="47"/>
      <c r="N7" s="47"/>
      <c r="O7" s="47"/>
      <c r="P7" s="47"/>
      <c r="Q7" s="47"/>
      <c r="R7" s="47"/>
      <c r="S7" s="47"/>
      <c r="T7" s="47"/>
      <c r="U7" s="47"/>
      <c r="V7" s="47"/>
      <c r="W7" s="47"/>
      <c r="X7" s="47"/>
      <c r="Y7" s="47"/>
      <c r="Z7" s="47"/>
    </row>
    <row r="8" spans="1:26" ht="43.5" customHeight="1" x14ac:dyDescent="0.35">
      <c r="A8" s="45">
        <v>3</v>
      </c>
      <c r="B8" s="8"/>
      <c r="C8" s="8"/>
      <c r="D8" s="8"/>
      <c r="E8" s="8"/>
      <c r="F8" s="25"/>
      <c r="G8" s="51"/>
      <c r="H8" s="25"/>
      <c r="I8" s="25"/>
      <c r="J8" s="120"/>
      <c r="K8" s="120"/>
      <c r="L8" s="47"/>
      <c r="M8" s="47"/>
      <c r="N8" s="47"/>
      <c r="O8" s="47"/>
      <c r="P8" s="47"/>
      <c r="Q8" s="47"/>
      <c r="R8" s="47"/>
      <c r="S8" s="47"/>
      <c r="T8" s="47"/>
      <c r="U8" s="47"/>
      <c r="V8" s="47"/>
      <c r="W8" s="47"/>
      <c r="X8" s="47"/>
      <c r="Y8" s="47"/>
      <c r="Z8" s="47"/>
    </row>
    <row r="9" spans="1:26" ht="43.5" customHeight="1" x14ac:dyDescent="0.35">
      <c r="A9" s="45">
        <v>4</v>
      </c>
      <c r="B9" s="8"/>
      <c r="C9" s="8"/>
      <c r="D9" s="8"/>
      <c r="E9" s="8"/>
      <c r="F9" s="25"/>
      <c r="G9" s="51"/>
      <c r="H9" s="25"/>
      <c r="I9" s="25"/>
      <c r="J9" s="120"/>
      <c r="K9" s="120"/>
      <c r="L9" s="47"/>
      <c r="M9" s="47"/>
      <c r="N9" s="47"/>
      <c r="O9" s="47"/>
      <c r="P9" s="47"/>
      <c r="Q9" s="47"/>
      <c r="R9" s="47"/>
      <c r="S9" s="47"/>
      <c r="T9" s="47"/>
      <c r="U9" s="47"/>
      <c r="V9" s="47"/>
      <c r="W9" s="47"/>
      <c r="X9" s="47"/>
      <c r="Y9" s="47"/>
      <c r="Z9" s="47"/>
    </row>
    <row r="10" spans="1:26" ht="43.5" customHeight="1" x14ac:dyDescent="0.35">
      <c r="A10" s="45">
        <v>5</v>
      </c>
      <c r="B10" s="8"/>
      <c r="C10" s="8"/>
      <c r="D10" s="8"/>
      <c r="E10" s="8"/>
      <c r="F10" s="25"/>
      <c r="G10" s="51"/>
      <c r="H10" s="25"/>
      <c r="I10" s="25"/>
      <c r="J10" s="120"/>
      <c r="K10" s="120"/>
      <c r="L10" s="47"/>
      <c r="M10" s="47"/>
      <c r="N10" s="47"/>
      <c r="O10" s="47"/>
      <c r="P10" s="47"/>
      <c r="Q10" s="47"/>
      <c r="R10" s="47"/>
      <c r="S10" s="47"/>
      <c r="T10" s="47"/>
      <c r="U10" s="47"/>
      <c r="V10" s="47"/>
      <c r="W10" s="47"/>
      <c r="X10" s="47"/>
      <c r="Y10" s="47"/>
      <c r="Z10" s="47"/>
    </row>
    <row r="11" spans="1:26" ht="43.5" customHeight="1" x14ac:dyDescent="0.35">
      <c r="A11" s="45">
        <v>6</v>
      </c>
      <c r="B11" s="8"/>
      <c r="C11" s="8"/>
      <c r="D11" s="8"/>
      <c r="E11" s="8"/>
      <c r="F11" s="25"/>
      <c r="G11" s="51"/>
      <c r="H11" s="25"/>
      <c r="I11" s="25"/>
      <c r="J11" s="120"/>
      <c r="K11" s="120"/>
      <c r="L11" s="47"/>
      <c r="M11" s="47"/>
      <c r="N11" s="47"/>
      <c r="O11" s="47"/>
      <c r="P11" s="47"/>
      <c r="Q11" s="47"/>
      <c r="R11" s="47"/>
      <c r="S11" s="47"/>
      <c r="T11" s="47"/>
      <c r="U11" s="47"/>
      <c r="V11" s="47"/>
      <c r="W11" s="47"/>
      <c r="X11" s="47"/>
      <c r="Y11" s="47"/>
      <c r="Z11" s="47"/>
    </row>
    <row r="12" spans="1:26" ht="43.5" customHeight="1" x14ac:dyDescent="0.35">
      <c r="A12" s="45">
        <v>7</v>
      </c>
      <c r="B12" s="8"/>
      <c r="C12" s="8"/>
      <c r="D12" s="8"/>
      <c r="E12" s="8"/>
      <c r="F12" s="25"/>
      <c r="G12" s="51"/>
      <c r="H12" s="25"/>
      <c r="I12" s="25"/>
      <c r="J12" s="120"/>
      <c r="K12" s="120"/>
      <c r="L12" s="47"/>
      <c r="M12" s="47"/>
      <c r="N12" s="47"/>
      <c r="O12" s="47"/>
      <c r="P12" s="47"/>
      <c r="Q12" s="47"/>
      <c r="R12" s="47"/>
      <c r="S12" s="47"/>
      <c r="T12" s="47"/>
      <c r="U12" s="47"/>
      <c r="V12" s="47"/>
      <c r="W12" s="47"/>
      <c r="X12" s="47"/>
      <c r="Y12" s="47"/>
      <c r="Z12" s="47"/>
    </row>
    <row r="13" spans="1:26" ht="43.5" customHeight="1" x14ac:dyDescent="0.35">
      <c r="A13" s="45">
        <v>8</v>
      </c>
      <c r="B13" s="8"/>
      <c r="C13" s="8"/>
      <c r="D13" s="8"/>
      <c r="E13" s="8"/>
      <c r="F13" s="25"/>
      <c r="G13" s="51"/>
      <c r="H13" s="25"/>
      <c r="I13" s="25"/>
      <c r="J13" s="120"/>
      <c r="K13" s="120"/>
      <c r="L13" s="47"/>
      <c r="M13" s="47"/>
      <c r="N13" s="47"/>
      <c r="O13" s="47"/>
      <c r="P13" s="47"/>
      <c r="Q13" s="47"/>
      <c r="R13" s="47"/>
      <c r="S13" s="47"/>
      <c r="T13" s="47"/>
      <c r="U13" s="47"/>
      <c r="V13" s="47"/>
      <c r="W13" s="47"/>
      <c r="X13" s="47"/>
      <c r="Y13" s="47"/>
      <c r="Z13" s="47"/>
    </row>
    <row r="14" spans="1:26" ht="43.5" customHeight="1" x14ac:dyDescent="0.35">
      <c r="A14" s="45">
        <v>9</v>
      </c>
      <c r="B14" s="8"/>
      <c r="C14" s="8"/>
      <c r="D14" s="8"/>
      <c r="E14" s="8"/>
      <c r="F14" s="25"/>
      <c r="G14" s="51"/>
      <c r="H14" s="25"/>
      <c r="I14" s="25"/>
      <c r="J14" s="125"/>
      <c r="K14" s="125"/>
      <c r="L14" s="29"/>
      <c r="M14" s="29"/>
      <c r="N14" s="29"/>
      <c r="O14" s="29"/>
      <c r="P14" s="29"/>
      <c r="Q14" s="29"/>
      <c r="R14" s="29"/>
      <c r="S14" s="29"/>
      <c r="T14" s="29"/>
      <c r="U14" s="29"/>
      <c r="V14" s="29"/>
      <c r="W14" s="29"/>
      <c r="X14" s="29"/>
      <c r="Y14" s="29"/>
      <c r="Z14" s="29"/>
    </row>
    <row r="15" spans="1:26" ht="109.5" customHeight="1" x14ac:dyDescent="0.35">
      <c r="A15" s="70">
        <v>10</v>
      </c>
      <c r="B15" s="83"/>
      <c r="C15" s="83"/>
      <c r="D15" s="83"/>
      <c r="E15" s="83"/>
      <c r="F15" s="82"/>
      <c r="G15" s="51"/>
      <c r="H15" s="82"/>
      <c r="I15" s="45"/>
      <c r="J15" s="45"/>
      <c r="K15" s="58"/>
      <c r="L15" s="2"/>
      <c r="M15" s="2"/>
      <c r="N15" s="2"/>
      <c r="O15" s="2"/>
      <c r="P15" s="2"/>
      <c r="Q15" s="2"/>
      <c r="R15" s="2"/>
      <c r="S15" s="2"/>
      <c r="T15" s="2"/>
      <c r="U15" s="2"/>
      <c r="V15" s="2"/>
      <c r="W15" s="2"/>
      <c r="X15" s="2"/>
      <c r="Y15" s="2"/>
      <c r="Z15" s="2"/>
    </row>
    <row r="16" spans="1:26" ht="35.25" customHeight="1" x14ac:dyDescent="0.65">
      <c r="A16" s="71"/>
      <c r="B16" s="72"/>
      <c r="C16" s="72"/>
      <c r="D16" s="72"/>
      <c r="E16" s="72"/>
      <c r="F16" s="72"/>
      <c r="G16" s="73"/>
      <c r="H16" s="72"/>
      <c r="I16" s="72"/>
      <c r="J16" s="74"/>
      <c r="K16" s="72"/>
      <c r="L16" s="21"/>
      <c r="M16" s="21"/>
      <c r="N16" s="21"/>
      <c r="O16" s="21"/>
      <c r="P16" s="21"/>
      <c r="Q16" s="21"/>
      <c r="R16" s="21"/>
      <c r="S16" s="21"/>
      <c r="T16" s="21"/>
      <c r="U16" s="21"/>
      <c r="V16" s="21"/>
      <c r="W16" s="21"/>
      <c r="X16" s="21"/>
      <c r="Y16" s="21"/>
      <c r="Z16" s="21"/>
    </row>
    <row r="17" spans="1:26" ht="23.5" x14ac:dyDescent="0.55000000000000004">
      <c r="A17" s="75"/>
      <c r="B17" s="76"/>
      <c r="C17" s="76"/>
      <c r="D17" s="76"/>
      <c r="E17" s="76"/>
      <c r="F17" s="76"/>
      <c r="G17" s="77"/>
      <c r="H17" s="76"/>
      <c r="I17" s="76"/>
      <c r="J17" s="78"/>
      <c r="K17" s="76"/>
      <c r="L17" s="21"/>
      <c r="M17" s="21"/>
      <c r="N17" s="21"/>
      <c r="O17" s="21"/>
      <c r="P17" s="21"/>
      <c r="Q17" s="21"/>
      <c r="R17" s="21"/>
      <c r="S17" s="21"/>
      <c r="T17" s="21"/>
      <c r="U17" s="21"/>
      <c r="V17" s="21"/>
      <c r="W17" s="21"/>
      <c r="X17" s="21"/>
      <c r="Y17" s="21"/>
      <c r="Z17" s="21"/>
    </row>
    <row r="18" spans="1:26" ht="23.5" x14ac:dyDescent="0.55000000000000004">
      <c r="A18" s="75"/>
      <c r="B18" s="76"/>
      <c r="C18" s="76"/>
      <c r="D18" s="76"/>
      <c r="E18" s="76"/>
      <c r="F18" s="76"/>
      <c r="G18" s="77"/>
      <c r="H18" s="76"/>
      <c r="I18" s="76"/>
      <c r="J18" s="78"/>
      <c r="K18" s="76"/>
      <c r="L18" s="21"/>
      <c r="M18" s="21"/>
      <c r="N18" s="21"/>
      <c r="O18" s="21"/>
      <c r="P18" s="21"/>
      <c r="Q18" s="21"/>
      <c r="R18" s="21"/>
      <c r="S18" s="21"/>
      <c r="T18" s="21"/>
      <c r="U18" s="21"/>
      <c r="V18" s="21"/>
      <c r="W18" s="21"/>
      <c r="X18" s="21"/>
      <c r="Y18" s="21"/>
      <c r="Z18" s="21"/>
    </row>
    <row r="19" spans="1:26" ht="27.75" customHeight="1" x14ac:dyDescent="0.55000000000000004">
      <c r="A19" s="61"/>
      <c r="B19" s="61"/>
      <c r="C19" s="61"/>
      <c r="D19" s="61"/>
      <c r="E19" s="61"/>
      <c r="F19" s="61"/>
      <c r="G19" s="61"/>
      <c r="H19" s="64"/>
      <c r="I19" s="61" t="s">
        <v>147</v>
      </c>
      <c r="J19" s="61"/>
      <c r="K19" s="61"/>
      <c r="L19" s="2"/>
      <c r="M19" s="2"/>
      <c r="N19" s="2"/>
      <c r="O19" s="2"/>
      <c r="P19" s="2"/>
      <c r="Q19" s="2"/>
      <c r="R19" s="2"/>
      <c r="S19" s="2"/>
      <c r="T19" s="2"/>
      <c r="U19" s="2"/>
      <c r="V19" s="2"/>
      <c r="W19" s="2"/>
      <c r="X19" s="2"/>
      <c r="Y19" s="2"/>
      <c r="Z19" s="2"/>
    </row>
    <row r="20" spans="1:26" ht="23.5" x14ac:dyDescent="0.55000000000000004">
      <c r="A20" s="2"/>
      <c r="B20" s="2"/>
      <c r="C20" s="2"/>
      <c r="D20" s="2"/>
      <c r="E20" s="2"/>
      <c r="F20" s="2"/>
      <c r="G20" s="2"/>
      <c r="H20" s="65"/>
      <c r="I20" s="79" t="s">
        <v>148</v>
      </c>
      <c r="J20" s="80"/>
      <c r="K20" s="2"/>
      <c r="L20" s="2"/>
      <c r="M20" s="2"/>
      <c r="N20" s="2"/>
      <c r="O20" s="2"/>
      <c r="P20" s="2"/>
      <c r="Q20" s="2"/>
      <c r="R20" s="2"/>
      <c r="S20" s="2"/>
      <c r="T20" s="2"/>
      <c r="U20" s="2"/>
      <c r="V20" s="2"/>
      <c r="W20" s="2"/>
      <c r="X20" s="2"/>
      <c r="Y20" s="2"/>
      <c r="Z20" s="2"/>
    </row>
    <row r="21" spans="1:26" ht="15.75" customHeight="1" x14ac:dyDescent="0.55000000000000004">
      <c r="A21" s="2"/>
      <c r="B21" s="2"/>
      <c r="C21" s="2"/>
      <c r="D21" s="2"/>
      <c r="E21" s="2"/>
      <c r="F21" s="2"/>
      <c r="G21" s="2"/>
      <c r="H21" s="66"/>
      <c r="I21" s="79" t="s">
        <v>149</v>
      </c>
      <c r="J21" s="2"/>
      <c r="K21" s="2"/>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7">
    <mergeCell ref="J6:J14"/>
    <mergeCell ref="K6:K14"/>
    <mergeCell ref="A4:A5"/>
    <mergeCell ref="B4:H4"/>
    <mergeCell ref="I4:I5"/>
    <mergeCell ref="J4:J5"/>
    <mergeCell ref="K4:K5"/>
  </mergeCells>
  <pageMargins left="0.25" right="0.25" top="0.75" bottom="0.75" header="0" footer="0"/>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135"/>
    <pageSetUpPr fitToPage="1"/>
  </sheetPr>
  <dimension ref="A1:Z1000"/>
  <sheetViews>
    <sheetView workbookViewId="0">
      <pane xSplit="6" ySplit="5" topLeftCell="G6" activePane="bottomRight" state="frozen"/>
      <selection pane="topRight" activeCell="G1" sqref="G1"/>
      <selection pane="bottomLeft" activeCell="A6" sqref="A6"/>
      <selection pane="bottomRight" activeCell="G6" sqref="G6"/>
    </sheetView>
  </sheetViews>
  <sheetFormatPr defaultColWidth="14.453125" defaultRowHeight="15" customHeight="1" x14ac:dyDescent="0.35"/>
  <cols>
    <col min="1" max="1" width="6" customWidth="1"/>
    <col min="2" max="2" width="25.54296875" customWidth="1"/>
    <col min="3" max="3" width="36.81640625" customWidth="1"/>
    <col min="4" max="4" width="45.54296875" customWidth="1"/>
    <col min="5" max="5" width="43" customWidth="1"/>
    <col min="6" max="6" width="34.81640625" customWidth="1"/>
    <col min="7" max="7" width="23.1796875" customWidth="1"/>
    <col min="8" max="8" width="21.54296875" customWidth="1"/>
    <col min="9" max="9" width="27.54296875" customWidth="1"/>
    <col min="10" max="10" width="28.1796875" customWidth="1"/>
    <col min="11" max="11" width="53.54296875" customWidth="1"/>
    <col min="12" max="26" width="8.7265625" customWidth="1"/>
  </cols>
  <sheetData>
    <row r="1" spans="1:26" ht="23.5" x14ac:dyDescent="0.55000000000000004">
      <c r="A1" s="1"/>
      <c r="B1" s="1"/>
      <c r="C1" s="1"/>
      <c r="D1" s="1"/>
      <c r="E1" s="1"/>
      <c r="F1" s="1"/>
      <c r="G1" s="1"/>
      <c r="H1" s="1"/>
      <c r="I1" s="1"/>
      <c r="J1" s="1"/>
      <c r="K1" s="1"/>
      <c r="L1" s="2"/>
      <c r="M1" s="2"/>
      <c r="N1" s="2"/>
      <c r="O1" s="2"/>
      <c r="P1" s="2"/>
      <c r="Q1" s="2"/>
      <c r="R1" s="2"/>
      <c r="S1" s="2"/>
      <c r="T1" s="2"/>
      <c r="U1" s="2"/>
      <c r="V1" s="2"/>
      <c r="W1" s="2"/>
      <c r="X1" s="2"/>
      <c r="Y1" s="2"/>
      <c r="Z1" s="2"/>
    </row>
    <row r="2" spans="1:26" ht="28.5" x14ac:dyDescent="0.65">
      <c r="A2" s="67" t="s">
        <v>114</v>
      </c>
      <c r="B2" s="19"/>
      <c r="C2" s="19"/>
      <c r="D2" s="19"/>
      <c r="E2" s="19"/>
      <c r="F2" s="19"/>
      <c r="G2" s="19"/>
      <c r="H2" s="19"/>
      <c r="I2" s="19"/>
      <c r="J2" s="19"/>
      <c r="K2" s="19"/>
      <c r="L2" s="2"/>
      <c r="M2" s="2"/>
      <c r="N2" s="2"/>
      <c r="O2" s="2"/>
      <c r="P2" s="2"/>
      <c r="Q2" s="2"/>
      <c r="R2" s="2"/>
      <c r="S2" s="2"/>
      <c r="T2" s="2"/>
      <c r="U2" s="2"/>
      <c r="V2" s="2"/>
      <c r="W2" s="2"/>
      <c r="X2" s="2"/>
      <c r="Y2" s="2"/>
      <c r="Z2" s="2"/>
    </row>
    <row r="3" spans="1:26" ht="28.5" x14ac:dyDescent="0.65">
      <c r="A3" s="18"/>
      <c r="B3" s="18"/>
      <c r="C3" s="18"/>
      <c r="D3" s="18"/>
      <c r="E3" s="18"/>
      <c r="F3" s="18"/>
      <c r="G3" s="19"/>
      <c r="H3" s="19"/>
      <c r="I3" s="19"/>
      <c r="J3" s="19"/>
      <c r="K3" s="20" t="s">
        <v>115</v>
      </c>
      <c r="L3" s="2"/>
      <c r="M3" s="2"/>
      <c r="N3" s="2"/>
      <c r="O3" s="2"/>
      <c r="P3" s="2"/>
      <c r="Q3" s="2"/>
      <c r="R3" s="2"/>
      <c r="S3" s="2"/>
      <c r="T3" s="2"/>
      <c r="U3" s="2"/>
      <c r="V3" s="2"/>
      <c r="W3" s="2"/>
      <c r="X3" s="2"/>
      <c r="Y3" s="2"/>
      <c r="Z3" s="2"/>
    </row>
    <row r="4" spans="1:26" ht="28.5" x14ac:dyDescent="0.35">
      <c r="A4" s="119" t="s">
        <v>1</v>
      </c>
      <c r="B4" s="128" t="s">
        <v>116</v>
      </c>
      <c r="C4" s="129"/>
      <c r="D4" s="129"/>
      <c r="E4" s="129"/>
      <c r="F4" s="129"/>
      <c r="G4" s="129"/>
      <c r="H4" s="130"/>
      <c r="I4" s="152" t="s">
        <v>117</v>
      </c>
      <c r="J4" s="152" t="s">
        <v>118</v>
      </c>
      <c r="K4" s="119" t="s">
        <v>3</v>
      </c>
      <c r="L4" s="44"/>
      <c r="M4" s="44"/>
      <c r="N4" s="44"/>
      <c r="O4" s="44"/>
      <c r="P4" s="44"/>
      <c r="Q4" s="44"/>
      <c r="R4" s="44"/>
      <c r="S4" s="44"/>
      <c r="T4" s="44"/>
      <c r="U4" s="44"/>
      <c r="V4" s="44"/>
      <c r="W4" s="44"/>
      <c r="X4" s="44"/>
      <c r="Y4" s="44"/>
      <c r="Z4" s="44"/>
    </row>
    <row r="5" spans="1:26" ht="57" x14ac:dyDescent="0.35">
      <c r="A5" s="125"/>
      <c r="B5" s="68" t="s">
        <v>119</v>
      </c>
      <c r="C5" s="69" t="s">
        <v>120</v>
      </c>
      <c r="D5" s="22" t="s">
        <v>121</v>
      </c>
      <c r="E5" s="69" t="s">
        <v>122</v>
      </c>
      <c r="F5" s="68" t="s">
        <v>123</v>
      </c>
      <c r="G5" s="23" t="s">
        <v>124</v>
      </c>
      <c r="H5" s="22" t="s">
        <v>125</v>
      </c>
      <c r="I5" s="125"/>
      <c r="J5" s="125"/>
      <c r="K5" s="125"/>
      <c r="L5" s="44"/>
      <c r="M5" s="44"/>
      <c r="N5" s="44"/>
      <c r="O5" s="44"/>
      <c r="P5" s="44"/>
      <c r="Q5" s="44"/>
      <c r="R5" s="44"/>
      <c r="S5" s="44"/>
      <c r="T5" s="44"/>
      <c r="U5" s="44"/>
      <c r="V5" s="44"/>
      <c r="W5" s="44"/>
      <c r="X5" s="44"/>
      <c r="Y5" s="44"/>
      <c r="Z5" s="44"/>
    </row>
    <row r="6" spans="1:26" ht="43.5" customHeight="1" x14ac:dyDescent="0.35">
      <c r="A6" s="45">
        <v>1</v>
      </c>
      <c r="B6" s="8" t="s">
        <v>126</v>
      </c>
      <c r="C6" s="8" t="s">
        <v>127</v>
      </c>
      <c r="D6" s="8" t="s">
        <v>128</v>
      </c>
      <c r="E6" s="8" t="s">
        <v>129</v>
      </c>
      <c r="F6" s="25" t="s">
        <v>130</v>
      </c>
      <c r="G6" s="51">
        <v>44203</v>
      </c>
      <c r="H6" s="25">
        <v>8882</v>
      </c>
      <c r="I6" s="25">
        <v>327</v>
      </c>
      <c r="J6" s="169" t="s">
        <v>131</v>
      </c>
      <c r="K6" s="169" t="s">
        <v>132</v>
      </c>
      <c r="L6" s="47"/>
      <c r="M6" s="47"/>
      <c r="N6" s="47"/>
      <c r="O6" s="47"/>
      <c r="P6" s="47"/>
      <c r="Q6" s="47"/>
      <c r="R6" s="47"/>
      <c r="S6" s="47"/>
      <c r="T6" s="47"/>
      <c r="U6" s="47"/>
      <c r="V6" s="47"/>
      <c r="W6" s="47"/>
      <c r="X6" s="47"/>
      <c r="Y6" s="47"/>
      <c r="Z6" s="47"/>
    </row>
    <row r="7" spans="1:26" ht="43.5" customHeight="1" x14ac:dyDescent="0.35">
      <c r="A7" s="45">
        <v>2</v>
      </c>
      <c r="B7" s="8" t="s">
        <v>126</v>
      </c>
      <c r="C7" s="8" t="s">
        <v>127</v>
      </c>
      <c r="D7" s="8" t="s">
        <v>128</v>
      </c>
      <c r="E7" s="8" t="s">
        <v>129</v>
      </c>
      <c r="F7" s="25" t="s">
        <v>133</v>
      </c>
      <c r="G7" s="51">
        <v>44203</v>
      </c>
      <c r="H7" s="25">
        <v>8883</v>
      </c>
      <c r="I7" s="25">
        <v>130</v>
      </c>
      <c r="J7" s="120"/>
      <c r="K7" s="120"/>
      <c r="L7" s="47"/>
      <c r="M7" s="47"/>
      <c r="N7" s="47"/>
      <c r="O7" s="47"/>
      <c r="P7" s="47"/>
      <c r="Q7" s="47"/>
      <c r="R7" s="47"/>
      <c r="S7" s="47"/>
      <c r="T7" s="47"/>
      <c r="U7" s="47"/>
      <c r="V7" s="47"/>
      <c r="W7" s="47"/>
      <c r="X7" s="47"/>
      <c r="Y7" s="47"/>
      <c r="Z7" s="47"/>
    </row>
    <row r="8" spans="1:26" ht="43.5" customHeight="1" x14ac:dyDescent="0.35">
      <c r="A8" s="45">
        <v>3</v>
      </c>
      <c r="B8" s="8" t="s">
        <v>126</v>
      </c>
      <c r="C8" s="8" t="s">
        <v>127</v>
      </c>
      <c r="D8" s="8" t="s">
        <v>128</v>
      </c>
      <c r="E8" s="8" t="s">
        <v>129</v>
      </c>
      <c r="F8" s="25" t="s">
        <v>134</v>
      </c>
      <c r="G8" s="51">
        <v>44203</v>
      </c>
      <c r="H8" s="25">
        <v>8884</v>
      </c>
      <c r="I8" s="25">
        <v>130</v>
      </c>
      <c r="J8" s="120"/>
      <c r="K8" s="120"/>
      <c r="L8" s="47"/>
      <c r="M8" s="47"/>
      <c r="N8" s="47"/>
      <c r="O8" s="47"/>
      <c r="P8" s="47"/>
      <c r="Q8" s="47"/>
      <c r="R8" s="47"/>
      <c r="S8" s="47"/>
      <c r="T8" s="47"/>
      <c r="U8" s="47"/>
      <c r="V8" s="47"/>
      <c r="W8" s="47"/>
      <c r="X8" s="47"/>
      <c r="Y8" s="47"/>
      <c r="Z8" s="47"/>
    </row>
    <row r="9" spans="1:26" ht="43.5" customHeight="1" x14ac:dyDescent="0.35">
      <c r="A9" s="45">
        <v>4</v>
      </c>
      <c r="B9" s="8" t="s">
        <v>126</v>
      </c>
      <c r="C9" s="8" t="s">
        <v>127</v>
      </c>
      <c r="D9" s="8" t="s">
        <v>128</v>
      </c>
      <c r="E9" s="8" t="s">
        <v>129</v>
      </c>
      <c r="F9" s="25" t="s">
        <v>135</v>
      </c>
      <c r="G9" s="51">
        <v>44203</v>
      </c>
      <c r="H9" s="25">
        <v>8885</v>
      </c>
      <c r="I9" s="25">
        <v>130</v>
      </c>
      <c r="J9" s="120"/>
      <c r="K9" s="120"/>
      <c r="L9" s="47"/>
      <c r="M9" s="47"/>
      <c r="N9" s="47"/>
      <c r="O9" s="47"/>
      <c r="P9" s="47"/>
      <c r="Q9" s="47"/>
      <c r="R9" s="47"/>
      <c r="S9" s="47"/>
      <c r="T9" s="47"/>
      <c r="U9" s="47"/>
      <c r="V9" s="47"/>
      <c r="W9" s="47"/>
      <c r="X9" s="47"/>
      <c r="Y9" s="47"/>
      <c r="Z9" s="47"/>
    </row>
    <row r="10" spans="1:26" ht="43.5" customHeight="1" x14ac:dyDescent="0.35">
      <c r="A10" s="45">
        <v>5</v>
      </c>
      <c r="B10" s="8" t="s">
        <v>126</v>
      </c>
      <c r="C10" s="8" t="s">
        <v>127</v>
      </c>
      <c r="D10" s="8" t="s">
        <v>128</v>
      </c>
      <c r="E10" s="8" t="s">
        <v>129</v>
      </c>
      <c r="F10" s="25" t="s">
        <v>136</v>
      </c>
      <c r="G10" s="51">
        <v>44203</v>
      </c>
      <c r="H10" s="25">
        <v>8886</v>
      </c>
      <c r="I10" s="25">
        <v>130</v>
      </c>
      <c r="J10" s="120"/>
      <c r="K10" s="120"/>
      <c r="L10" s="47"/>
      <c r="M10" s="47"/>
      <c r="N10" s="47"/>
      <c r="O10" s="47"/>
      <c r="P10" s="47"/>
      <c r="Q10" s="47"/>
      <c r="R10" s="47"/>
      <c r="S10" s="47"/>
      <c r="T10" s="47"/>
      <c r="U10" s="47"/>
      <c r="V10" s="47"/>
      <c r="W10" s="47"/>
      <c r="X10" s="47"/>
      <c r="Y10" s="47"/>
      <c r="Z10" s="47"/>
    </row>
    <row r="11" spans="1:26" ht="43.5" customHeight="1" x14ac:dyDescent="0.35">
      <c r="A11" s="45">
        <v>6</v>
      </c>
      <c r="B11" s="8" t="s">
        <v>126</v>
      </c>
      <c r="C11" s="8" t="s">
        <v>127</v>
      </c>
      <c r="D11" s="8" t="s">
        <v>128</v>
      </c>
      <c r="E11" s="8" t="s">
        <v>129</v>
      </c>
      <c r="F11" s="25" t="s">
        <v>137</v>
      </c>
      <c r="G11" s="51">
        <v>44203</v>
      </c>
      <c r="H11" s="25">
        <v>8887</v>
      </c>
      <c r="I11" s="25">
        <v>130</v>
      </c>
      <c r="J11" s="120"/>
      <c r="K11" s="120"/>
      <c r="L11" s="47"/>
      <c r="M11" s="47"/>
      <c r="N11" s="47"/>
      <c r="O11" s="47"/>
      <c r="P11" s="47"/>
      <c r="Q11" s="47"/>
      <c r="R11" s="47"/>
      <c r="S11" s="47"/>
      <c r="T11" s="47"/>
      <c r="U11" s="47"/>
      <c r="V11" s="47"/>
      <c r="W11" s="47"/>
      <c r="X11" s="47"/>
      <c r="Y11" s="47"/>
      <c r="Z11" s="47"/>
    </row>
    <row r="12" spans="1:26" ht="43.5" customHeight="1" x14ac:dyDescent="0.35">
      <c r="A12" s="45">
        <v>7</v>
      </c>
      <c r="B12" s="8" t="s">
        <v>126</v>
      </c>
      <c r="C12" s="8" t="s">
        <v>127</v>
      </c>
      <c r="D12" s="8" t="s">
        <v>128</v>
      </c>
      <c r="E12" s="8" t="s">
        <v>129</v>
      </c>
      <c r="F12" s="25" t="s">
        <v>138</v>
      </c>
      <c r="G12" s="51">
        <v>44203</v>
      </c>
      <c r="H12" s="25">
        <v>8888</v>
      </c>
      <c r="I12" s="25">
        <v>131</v>
      </c>
      <c r="J12" s="120"/>
      <c r="K12" s="120"/>
      <c r="L12" s="47"/>
      <c r="M12" s="47"/>
      <c r="N12" s="47"/>
      <c r="O12" s="47"/>
      <c r="P12" s="47"/>
      <c r="Q12" s="47"/>
      <c r="R12" s="47"/>
      <c r="S12" s="47"/>
      <c r="T12" s="47"/>
      <c r="U12" s="47"/>
      <c r="V12" s="47"/>
      <c r="W12" s="47"/>
      <c r="X12" s="47"/>
      <c r="Y12" s="47"/>
      <c r="Z12" s="47"/>
    </row>
    <row r="13" spans="1:26" ht="43.5" customHeight="1" x14ac:dyDescent="0.35">
      <c r="A13" s="45">
        <v>8</v>
      </c>
      <c r="B13" s="8" t="s">
        <v>126</v>
      </c>
      <c r="C13" s="8" t="s">
        <v>127</v>
      </c>
      <c r="D13" s="8" t="s">
        <v>128</v>
      </c>
      <c r="E13" s="8" t="s">
        <v>129</v>
      </c>
      <c r="F13" s="25" t="s">
        <v>139</v>
      </c>
      <c r="G13" s="51">
        <v>44203</v>
      </c>
      <c r="H13" s="25">
        <v>8889</v>
      </c>
      <c r="I13" s="25">
        <v>209</v>
      </c>
      <c r="J13" s="120"/>
      <c r="K13" s="120"/>
      <c r="L13" s="47"/>
      <c r="M13" s="47"/>
      <c r="N13" s="47"/>
      <c r="O13" s="47"/>
      <c r="P13" s="47"/>
      <c r="Q13" s="47"/>
      <c r="R13" s="47"/>
      <c r="S13" s="47"/>
      <c r="T13" s="47"/>
      <c r="U13" s="47"/>
      <c r="V13" s="47"/>
      <c r="W13" s="47"/>
      <c r="X13" s="47"/>
      <c r="Y13" s="47"/>
      <c r="Z13" s="47"/>
    </row>
    <row r="14" spans="1:26" ht="43.5" customHeight="1" x14ac:dyDescent="0.35">
      <c r="A14" s="45">
        <v>9</v>
      </c>
      <c r="B14" s="8" t="s">
        <v>126</v>
      </c>
      <c r="C14" s="8" t="s">
        <v>127</v>
      </c>
      <c r="D14" s="8" t="s">
        <v>128</v>
      </c>
      <c r="E14" s="8" t="s">
        <v>129</v>
      </c>
      <c r="F14" s="25" t="s">
        <v>140</v>
      </c>
      <c r="G14" s="51">
        <v>44395</v>
      </c>
      <c r="H14" s="25">
        <v>9017</v>
      </c>
      <c r="I14" s="25">
        <v>2196</v>
      </c>
      <c r="J14" s="125"/>
      <c r="K14" s="125"/>
      <c r="L14" s="29"/>
      <c r="M14" s="29"/>
      <c r="N14" s="29"/>
      <c r="O14" s="29"/>
      <c r="P14" s="29"/>
      <c r="Q14" s="29"/>
      <c r="R14" s="29"/>
      <c r="S14" s="29"/>
      <c r="T14" s="29"/>
      <c r="U14" s="29"/>
      <c r="V14" s="29"/>
      <c r="W14" s="29"/>
      <c r="X14" s="29"/>
      <c r="Y14" s="29"/>
      <c r="Z14" s="29"/>
    </row>
    <row r="15" spans="1:26" ht="109.5" customHeight="1" x14ac:dyDescent="0.35">
      <c r="A15" s="70">
        <v>10</v>
      </c>
      <c r="B15" s="83" t="s">
        <v>126</v>
      </c>
      <c r="C15" s="83" t="s">
        <v>141</v>
      </c>
      <c r="D15" s="83" t="s">
        <v>142</v>
      </c>
      <c r="E15" s="83" t="s">
        <v>143</v>
      </c>
      <c r="F15" s="82" t="s">
        <v>144</v>
      </c>
      <c r="G15" s="51">
        <v>26510</v>
      </c>
      <c r="H15" s="82">
        <v>5917</v>
      </c>
      <c r="I15" s="45">
        <v>1158433.567</v>
      </c>
      <c r="J15" s="45" t="s">
        <v>145</v>
      </c>
      <c r="K15" s="58" t="s">
        <v>146</v>
      </c>
      <c r="L15" s="2"/>
      <c r="M15" s="2"/>
      <c r="N15" s="2"/>
      <c r="O15" s="2"/>
      <c r="P15" s="2"/>
      <c r="Q15" s="2"/>
      <c r="R15" s="2"/>
      <c r="S15" s="2"/>
      <c r="T15" s="2"/>
      <c r="U15" s="2"/>
      <c r="V15" s="2"/>
      <c r="W15" s="2"/>
      <c r="X15" s="2"/>
      <c r="Y15" s="2"/>
      <c r="Z15" s="2"/>
    </row>
    <row r="16" spans="1:26" ht="35.25" customHeight="1" x14ac:dyDescent="0.65">
      <c r="A16" s="71"/>
      <c r="B16" s="72"/>
      <c r="C16" s="72"/>
      <c r="D16" s="72"/>
      <c r="E16" s="72"/>
      <c r="F16" s="72"/>
      <c r="G16" s="73"/>
      <c r="H16" s="72"/>
      <c r="I16" s="72"/>
      <c r="J16" s="74"/>
      <c r="K16" s="72"/>
      <c r="L16" s="21"/>
      <c r="M16" s="21"/>
      <c r="N16" s="21"/>
      <c r="O16" s="21"/>
      <c r="P16" s="21"/>
      <c r="Q16" s="21"/>
      <c r="R16" s="21"/>
      <c r="S16" s="21"/>
      <c r="T16" s="21"/>
      <c r="U16" s="21"/>
      <c r="V16" s="21"/>
      <c r="W16" s="21"/>
      <c r="X16" s="21"/>
      <c r="Y16" s="21"/>
      <c r="Z16" s="21"/>
    </row>
    <row r="17" spans="1:26" ht="23.5" x14ac:dyDescent="0.55000000000000004">
      <c r="A17" s="75"/>
      <c r="B17" s="76"/>
      <c r="C17" s="76"/>
      <c r="D17" s="76"/>
      <c r="E17" s="76"/>
      <c r="F17" s="76"/>
      <c r="G17" s="77"/>
      <c r="H17" s="76"/>
      <c r="I17" s="76"/>
      <c r="J17" s="78"/>
      <c r="K17" s="76"/>
      <c r="L17" s="21"/>
      <c r="M17" s="21"/>
      <c r="N17" s="21"/>
      <c r="O17" s="21"/>
      <c r="P17" s="21"/>
      <c r="Q17" s="21"/>
      <c r="R17" s="21"/>
      <c r="S17" s="21"/>
      <c r="T17" s="21"/>
      <c r="U17" s="21"/>
      <c r="V17" s="21"/>
      <c r="W17" s="21"/>
      <c r="X17" s="21"/>
      <c r="Y17" s="21"/>
      <c r="Z17" s="21"/>
    </row>
    <row r="18" spans="1:26" ht="23.5" x14ac:dyDescent="0.55000000000000004">
      <c r="A18" s="75"/>
      <c r="B18" s="76"/>
      <c r="C18" s="76"/>
      <c r="D18" s="76"/>
      <c r="E18" s="76"/>
      <c r="F18" s="76"/>
      <c r="G18" s="77"/>
      <c r="H18" s="76"/>
      <c r="I18" s="76"/>
      <c r="J18" s="78"/>
      <c r="K18" s="76"/>
      <c r="L18" s="21"/>
      <c r="M18" s="21"/>
      <c r="N18" s="21"/>
      <c r="O18" s="21"/>
      <c r="P18" s="21"/>
      <c r="Q18" s="21"/>
      <c r="R18" s="21"/>
      <c r="S18" s="21"/>
      <c r="T18" s="21"/>
      <c r="U18" s="21"/>
      <c r="V18" s="21"/>
      <c r="W18" s="21"/>
      <c r="X18" s="21"/>
      <c r="Y18" s="21"/>
      <c r="Z18" s="21"/>
    </row>
    <row r="19" spans="1:26" ht="27.75" customHeight="1" x14ac:dyDescent="0.55000000000000004">
      <c r="A19" s="61"/>
      <c r="B19" s="61"/>
      <c r="C19" s="61"/>
      <c r="D19" s="61"/>
      <c r="E19" s="61"/>
      <c r="F19" s="61"/>
      <c r="G19" s="61"/>
      <c r="H19" s="64"/>
      <c r="I19" s="61" t="s">
        <v>147</v>
      </c>
      <c r="J19" s="61"/>
      <c r="K19" s="61"/>
      <c r="L19" s="2"/>
      <c r="M19" s="2"/>
      <c r="N19" s="2"/>
      <c r="O19" s="2"/>
      <c r="P19" s="2"/>
      <c r="Q19" s="2"/>
      <c r="R19" s="2"/>
      <c r="S19" s="2"/>
      <c r="T19" s="2"/>
      <c r="U19" s="2"/>
      <c r="V19" s="2"/>
      <c r="W19" s="2"/>
      <c r="X19" s="2"/>
      <c r="Y19" s="2"/>
      <c r="Z19" s="2"/>
    </row>
    <row r="20" spans="1:26" ht="23.5" x14ac:dyDescent="0.55000000000000004">
      <c r="A20" s="2"/>
      <c r="B20" s="2"/>
      <c r="C20" s="2"/>
      <c r="D20" s="2"/>
      <c r="E20" s="2"/>
      <c r="F20" s="2"/>
      <c r="G20" s="2"/>
      <c r="H20" s="65"/>
      <c r="I20" s="79" t="s">
        <v>148</v>
      </c>
      <c r="J20" s="80"/>
      <c r="K20" s="2"/>
      <c r="L20" s="2"/>
      <c r="M20" s="2"/>
      <c r="N20" s="2"/>
      <c r="O20" s="2"/>
      <c r="P20" s="2"/>
      <c r="Q20" s="2"/>
      <c r="R20" s="2"/>
      <c r="S20" s="2"/>
      <c r="T20" s="2"/>
      <c r="U20" s="2"/>
      <c r="V20" s="2"/>
      <c r="W20" s="2"/>
      <c r="X20" s="2"/>
      <c r="Y20" s="2"/>
      <c r="Z20" s="2"/>
    </row>
    <row r="21" spans="1:26" ht="15.75" customHeight="1" x14ac:dyDescent="0.55000000000000004">
      <c r="A21" s="2"/>
      <c r="B21" s="2"/>
      <c r="C21" s="2"/>
      <c r="D21" s="2"/>
      <c r="E21" s="2"/>
      <c r="F21" s="2"/>
      <c r="G21" s="2"/>
      <c r="H21" s="66"/>
      <c r="I21" s="79" t="s">
        <v>149</v>
      </c>
      <c r="J21" s="2"/>
      <c r="K21" s="2"/>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7">
    <mergeCell ref="J6:J14"/>
    <mergeCell ref="K6:K14"/>
    <mergeCell ref="A4:A5"/>
    <mergeCell ref="B4:H4"/>
    <mergeCell ref="I4:I5"/>
    <mergeCell ref="J4:J5"/>
    <mergeCell ref="K4:K5"/>
  </mergeCells>
  <pageMargins left="0.25" right="0.25" top="0.75" bottom="0.75" header="0" footer="0"/>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135"/>
    <pageSetUpPr fitToPage="1"/>
  </sheetPr>
  <dimension ref="A1:Z1000"/>
  <sheetViews>
    <sheetView zoomScale="50" zoomScaleNormal="50" workbookViewId="0">
      <pane xSplit="6" ySplit="5" topLeftCell="G6" activePane="bottomRight" state="frozen"/>
      <selection pane="topRight" activeCell="G1" sqref="G1"/>
      <selection pane="bottomLeft" activeCell="A6" sqref="A6"/>
      <selection pane="bottomRight" activeCell="G6" sqref="G6"/>
    </sheetView>
  </sheetViews>
  <sheetFormatPr defaultColWidth="14.453125" defaultRowHeight="15" customHeight="1" x14ac:dyDescent="0.35"/>
  <cols>
    <col min="1" max="1" width="6" customWidth="1"/>
    <col min="2" max="2" width="25.54296875" customWidth="1"/>
    <col min="3" max="3" width="36.81640625" customWidth="1"/>
    <col min="4" max="4" width="45.54296875" customWidth="1"/>
    <col min="5" max="5" width="43" customWidth="1"/>
    <col min="6" max="6" width="34.81640625" customWidth="1"/>
    <col min="7" max="7" width="23.1796875" customWidth="1"/>
    <col min="8" max="8" width="21.54296875" customWidth="1"/>
    <col min="9" max="9" width="27.54296875" customWidth="1"/>
    <col min="10" max="10" width="28.1796875" customWidth="1"/>
    <col min="11" max="11" width="53.54296875" customWidth="1"/>
    <col min="12" max="26" width="8.7265625" customWidth="1"/>
  </cols>
  <sheetData>
    <row r="1" spans="1:26" ht="23.5" x14ac:dyDescent="0.55000000000000004">
      <c r="A1" s="1"/>
      <c r="B1" s="1"/>
      <c r="C1" s="1"/>
      <c r="D1" s="1"/>
      <c r="E1" s="1"/>
      <c r="F1" s="1"/>
      <c r="G1" s="1"/>
      <c r="H1" s="1"/>
      <c r="I1" s="1"/>
      <c r="J1" s="1"/>
      <c r="K1" s="1"/>
      <c r="L1" s="2"/>
      <c r="M1" s="2"/>
      <c r="N1" s="2"/>
      <c r="O1" s="2"/>
      <c r="P1" s="2"/>
      <c r="Q1" s="2"/>
      <c r="R1" s="2"/>
      <c r="S1" s="2"/>
      <c r="T1" s="2"/>
      <c r="U1" s="2"/>
      <c r="V1" s="2"/>
      <c r="W1" s="2"/>
      <c r="X1" s="2"/>
      <c r="Y1" s="2"/>
      <c r="Z1" s="2"/>
    </row>
    <row r="2" spans="1:26" ht="28.5" x14ac:dyDescent="0.65">
      <c r="A2" s="67" t="s">
        <v>114</v>
      </c>
      <c r="B2" s="19"/>
      <c r="C2" s="19"/>
      <c r="D2" s="19"/>
      <c r="E2" s="19"/>
      <c r="F2" s="19"/>
      <c r="G2" s="19"/>
      <c r="H2" s="19"/>
      <c r="I2" s="19"/>
      <c r="J2" s="19"/>
      <c r="K2" s="19"/>
      <c r="L2" s="2"/>
      <c r="M2" s="2"/>
      <c r="N2" s="2"/>
      <c r="O2" s="2"/>
      <c r="P2" s="2"/>
      <c r="Q2" s="2"/>
      <c r="R2" s="2"/>
      <c r="S2" s="2"/>
      <c r="T2" s="2"/>
      <c r="U2" s="2"/>
      <c r="V2" s="2"/>
      <c r="W2" s="2"/>
      <c r="X2" s="2"/>
      <c r="Y2" s="2"/>
      <c r="Z2" s="2"/>
    </row>
    <row r="3" spans="1:26" ht="28.5" x14ac:dyDescent="0.65">
      <c r="A3" s="18"/>
      <c r="B3" s="18"/>
      <c r="C3" s="18"/>
      <c r="D3" s="18"/>
      <c r="E3" s="18"/>
      <c r="F3" s="18"/>
      <c r="G3" s="19"/>
      <c r="H3" s="19"/>
      <c r="I3" s="19"/>
      <c r="J3" s="19"/>
      <c r="K3" s="20" t="s">
        <v>115</v>
      </c>
      <c r="L3" s="2"/>
      <c r="M3" s="2"/>
      <c r="N3" s="2"/>
      <c r="O3" s="2"/>
      <c r="P3" s="2"/>
      <c r="Q3" s="2"/>
      <c r="R3" s="2"/>
      <c r="S3" s="2"/>
      <c r="T3" s="2"/>
      <c r="U3" s="2"/>
      <c r="V3" s="2"/>
      <c r="W3" s="2"/>
      <c r="X3" s="2"/>
      <c r="Y3" s="2"/>
      <c r="Z3" s="2"/>
    </row>
    <row r="4" spans="1:26" ht="28.5" x14ac:dyDescent="0.35">
      <c r="A4" s="119" t="s">
        <v>1</v>
      </c>
      <c r="B4" s="128" t="s">
        <v>116</v>
      </c>
      <c r="C4" s="129"/>
      <c r="D4" s="129"/>
      <c r="E4" s="129"/>
      <c r="F4" s="129"/>
      <c r="G4" s="129"/>
      <c r="H4" s="130"/>
      <c r="I4" s="152" t="s">
        <v>117</v>
      </c>
      <c r="J4" s="152" t="s">
        <v>118</v>
      </c>
      <c r="K4" s="119" t="s">
        <v>3</v>
      </c>
      <c r="L4" s="44"/>
      <c r="M4" s="44"/>
      <c r="N4" s="44"/>
      <c r="O4" s="44"/>
      <c r="P4" s="44"/>
      <c r="Q4" s="44"/>
      <c r="R4" s="44"/>
      <c r="S4" s="44"/>
      <c r="T4" s="44"/>
      <c r="U4" s="44"/>
      <c r="V4" s="44"/>
      <c r="W4" s="44"/>
      <c r="X4" s="44"/>
      <c r="Y4" s="44"/>
      <c r="Z4" s="44"/>
    </row>
    <row r="5" spans="1:26" ht="57" x14ac:dyDescent="0.35">
      <c r="A5" s="125"/>
      <c r="B5" s="68" t="s">
        <v>119</v>
      </c>
      <c r="C5" s="69" t="s">
        <v>120</v>
      </c>
      <c r="D5" s="22" t="s">
        <v>121</v>
      </c>
      <c r="E5" s="69" t="s">
        <v>122</v>
      </c>
      <c r="F5" s="68" t="s">
        <v>123</v>
      </c>
      <c r="G5" s="23" t="s">
        <v>124</v>
      </c>
      <c r="H5" s="22" t="s">
        <v>125</v>
      </c>
      <c r="I5" s="125"/>
      <c r="J5" s="125"/>
      <c r="K5" s="125"/>
      <c r="L5" s="44"/>
      <c r="M5" s="44"/>
      <c r="N5" s="44"/>
      <c r="O5" s="44"/>
      <c r="P5" s="44"/>
      <c r="Q5" s="44"/>
      <c r="R5" s="44"/>
      <c r="S5" s="44"/>
      <c r="T5" s="44"/>
      <c r="U5" s="44"/>
      <c r="V5" s="44"/>
      <c r="W5" s="44"/>
      <c r="X5" s="44"/>
      <c r="Y5" s="44"/>
      <c r="Z5" s="44"/>
    </row>
    <row r="6" spans="1:26" ht="43.5" customHeight="1" x14ac:dyDescent="0.35">
      <c r="A6" s="45">
        <v>1</v>
      </c>
      <c r="B6" s="8" t="s">
        <v>126</v>
      </c>
      <c r="C6" s="8" t="s">
        <v>127</v>
      </c>
      <c r="D6" s="8" t="s">
        <v>128</v>
      </c>
      <c r="E6" s="8" t="s">
        <v>129</v>
      </c>
      <c r="F6" s="25" t="s">
        <v>130</v>
      </c>
      <c r="G6" s="51">
        <v>44203</v>
      </c>
      <c r="H6" s="25">
        <v>8882</v>
      </c>
      <c r="I6" s="25">
        <v>327</v>
      </c>
      <c r="J6" s="169" t="s">
        <v>131</v>
      </c>
      <c r="K6" s="169" t="s">
        <v>132</v>
      </c>
      <c r="L6" s="47"/>
      <c r="M6" s="47"/>
      <c r="N6" s="47"/>
      <c r="O6" s="47"/>
      <c r="P6" s="47"/>
      <c r="Q6" s="47"/>
      <c r="R6" s="47"/>
      <c r="S6" s="47"/>
      <c r="T6" s="47"/>
      <c r="U6" s="47"/>
      <c r="V6" s="47"/>
      <c r="W6" s="47"/>
      <c r="X6" s="47"/>
      <c r="Y6" s="47"/>
      <c r="Z6" s="47"/>
    </row>
    <row r="7" spans="1:26" ht="43.5" customHeight="1" x14ac:dyDescent="0.35">
      <c r="A7" s="45">
        <v>2</v>
      </c>
      <c r="B7" s="8" t="s">
        <v>126</v>
      </c>
      <c r="C7" s="8" t="s">
        <v>127</v>
      </c>
      <c r="D7" s="8" t="s">
        <v>128</v>
      </c>
      <c r="E7" s="8" t="s">
        <v>129</v>
      </c>
      <c r="F7" s="25" t="s">
        <v>133</v>
      </c>
      <c r="G7" s="51">
        <v>44203</v>
      </c>
      <c r="H7" s="25">
        <v>8883</v>
      </c>
      <c r="I7" s="25">
        <v>130</v>
      </c>
      <c r="J7" s="120"/>
      <c r="K7" s="120"/>
      <c r="L7" s="47"/>
      <c r="M7" s="47"/>
      <c r="N7" s="47"/>
      <c r="O7" s="47"/>
      <c r="P7" s="47"/>
      <c r="Q7" s="47"/>
      <c r="R7" s="47"/>
      <c r="S7" s="47"/>
      <c r="T7" s="47"/>
      <c r="U7" s="47"/>
      <c r="V7" s="47"/>
      <c r="W7" s="47"/>
      <c r="X7" s="47"/>
      <c r="Y7" s="47"/>
      <c r="Z7" s="47"/>
    </row>
    <row r="8" spans="1:26" ht="43.5" customHeight="1" x14ac:dyDescent="0.35">
      <c r="A8" s="45">
        <v>3</v>
      </c>
      <c r="B8" s="8" t="s">
        <v>126</v>
      </c>
      <c r="C8" s="8" t="s">
        <v>127</v>
      </c>
      <c r="D8" s="8" t="s">
        <v>128</v>
      </c>
      <c r="E8" s="8" t="s">
        <v>129</v>
      </c>
      <c r="F8" s="25" t="s">
        <v>134</v>
      </c>
      <c r="G8" s="51">
        <v>44203</v>
      </c>
      <c r="H8" s="25">
        <v>8884</v>
      </c>
      <c r="I8" s="25">
        <v>130</v>
      </c>
      <c r="J8" s="120"/>
      <c r="K8" s="120"/>
      <c r="L8" s="47"/>
      <c r="M8" s="47"/>
      <c r="N8" s="47"/>
      <c r="O8" s="47"/>
      <c r="P8" s="47"/>
      <c r="Q8" s="47"/>
      <c r="R8" s="47"/>
      <c r="S8" s="47"/>
      <c r="T8" s="47"/>
      <c r="U8" s="47"/>
      <c r="V8" s="47"/>
      <c r="W8" s="47"/>
      <c r="X8" s="47"/>
      <c r="Y8" s="47"/>
      <c r="Z8" s="47"/>
    </row>
    <row r="9" spans="1:26" ht="43.5" customHeight="1" x14ac:dyDescent="0.35">
      <c r="A9" s="45">
        <v>4</v>
      </c>
      <c r="B9" s="8" t="s">
        <v>126</v>
      </c>
      <c r="C9" s="8" t="s">
        <v>127</v>
      </c>
      <c r="D9" s="8" t="s">
        <v>128</v>
      </c>
      <c r="E9" s="8" t="s">
        <v>129</v>
      </c>
      <c r="F9" s="25" t="s">
        <v>135</v>
      </c>
      <c r="G9" s="51">
        <v>44203</v>
      </c>
      <c r="H9" s="25">
        <v>8885</v>
      </c>
      <c r="I9" s="25">
        <v>130</v>
      </c>
      <c r="J9" s="120"/>
      <c r="K9" s="120"/>
      <c r="L9" s="47"/>
      <c r="M9" s="47"/>
      <c r="N9" s="47"/>
      <c r="O9" s="47"/>
      <c r="P9" s="47"/>
      <c r="Q9" s="47"/>
      <c r="R9" s="47"/>
      <c r="S9" s="47"/>
      <c r="T9" s="47"/>
      <c r="U9" s="47"/>
      <c r="V9" s="47"/>
      <c r="W9" s="47"/>
      <c r="X9" s="47"/>
      <c r="Y9" s="47"/>
      <c r="Z9" s="47"/>
    </row>
    <row r="10" spans="1:26" ht="43.5" customHeight="1" x14ac:dyDescent="0.35">
      <c r="A10" s="45">
        <v>5</v>
      </c>
      <c r="B10" s="8" t="s">
        <v>126</v>
      </c>
      <c r="C10" s="8" t="s">
        <v>127</v>
      </c>
      <c r="D10" s="8" t="s">
        <v>128</v>
      </c>
      <c r="E10" s="8" t="s">
        <v>129</v>
      </c>
      <c r="F10" s="25" t="s">
        <v>136</v>
      </c>
      <c r="G10" s="51">
        <v>44203</v>
      </c>
      <c r="H10" s="25">
        <v>8886</v>
      </c>
      <c r="I10" s="25">
        <v>130</v>
      </c>
      <c r="J10" s="120"/>
      <c r="K10" s="120"/>
      <c r="L10" s="47"/>
      <c r="M10" s="47"/>
      <c r="N10" s="47"/>
      <c r="O10" s="47"/>
      <c r="P10" s="47"/>
      <c r="Q10" s="47"/>
      <c r="R10" s="47"/>
      <c r="S10" s="47"/>
      <c r="T10" s="47"/>
      <c r="U10" s="47"/>
      <c r="V10" s="47"/>
      <c r="W10" s="47"/>
      <c r="X10" s="47"/>
      <c r="Y10" s="47"/>
      <c r="Z10" s="47"/>
    </row>
    <row r="11" spans="1:26" ht="43.5" customHeight="1" x14ac:dyDescent="0.35">
      <c r="A11" s="45">
        <v>6</v>
      </c>
      <c r="B11" s="8" t="s">
        <v>126</v>
      </c>
      <c r="C11" s="8" t="s">
        <v>127</v>
      </c>
      <c r="D11" s="8" t="s">
        <v>128</v>
      </c>
      <c r="E11" s="8" t="s">
        <v>129</v>
      </c>
      <c r="F11" s="25" t="s">
        <v>137</v>
      </c>
      <c r="G11" s="51">
        <v>44203</v>
      </c>
      <c r="H11" s="25">
        <v>8887</v>
      </c>
      <c r="I11" s="25">
        <v>130</v>
      </c>
      <c r="J11" s="120"/>
      <c r="K11" s="120"/>
      <c r="L11" s="47"/>
      <c r="M11" s="47"/>
      <c r="N11" s="47"/>
      <c r="O11" s="47"/>
      <c r="P11" s="47"/>
      <c r="Q11" s="47"/>
      <c r="R11" s="47"/>
      <c r="S11" s="47"/>
      <c r="T11" s="47"/>
      <c r="U11" s="47"/>
      <c r="V11" s="47"/>
      <c r="W11" s="47"/>
      <c r="X11" s="47"/>
      <c r="Y11" s="47"/>
      <c r="Z11" s="47"/>
    </row>
    <row r="12" spans="1:26" ht="43.5" customHeight="1" x14ac:dyDescent="0.35">
      <c r="A12" s="45">
        <v>7</v>
      </c>
      <c r="B12" s="8" t="s">
        <v>126</v>
      </c>
      <c r="C12" s="8" t="s">
        <v>127</v>
      </c>
      <c r="D12" s="8" t="s">
        <v>128</v>
      </c>
      <c r="E12" s="8" t="s">
        <v>129</v>
      </c>
      <c r="F12" s="25" t="s">
        <v>138</v>
      </c>
      <c r="G12" s="51">
        <v>44203</v>
      </c>
      <c r="H12" s="25">
        <v>8888</v>
      </c>
      <c r="I12" s="25">
        <v>131</v>
      </c>
      <c r="J12" s="120"/>
      <c r="K12" s="120"/>
      <c r="L12" s="47"/>
      <c r="M12" s="47"/>
      <c r="N12" s="47"/>
      <c r="O12" s="47"/>
      <c r="P12" s="47"/>
      <c r="Q12" s="47"/>
      <c r="R12" s="47"/>
      <c r="S12" s="47"/>
      <c r="T12" s="47"/>
      <c r="U12" s="47"/>
      <c r="V12" s="47"/>
      <c r="W12" s="47"/>
      <c r="X12" s="47"/>
      <c r="Y12" s="47"/>
      <c r="Z12" s="47"/>
    </row>
    <row r="13" spans="1:26" ht="43.5" customHeight="1" x14ac:dyDescent="0.35">
      <c r="A13" s="45">
        <v>8</v>
      </c>
      <c r="B13" s="8" t="s">
        <v>126</v>
      </c>
      <c r="C13" s="8" t="s">
        <v>127</v>
      </c>
      <c r="D13" s="8" t="s">
        <v>128</v>
      </c>
      <c r="E13" s="8" t="s">
        <v>129</v>
      </c>
      <c r="F13" s="25" t="s">
        <v>139</v>
      </c>
      <c r="G13" s="51">
        <v>44203</v>
      </c>
      <c r="H13" s="25">
        <v>8889</v>
      </c>
      <c r="I13" s="25">
        <v>209</v>
      </c>
      <c r="J13" s="120"/>
      <c r="K13" s="120"/>
      <c r="L13" s="47"/>
      <c r="M13" s="47"/>
      <c r="N13" s="47"/>
      <c r="O13" s="47"/>
      <c r="P13" s="47"/>
      <c r="Q13" s="47"/>
      <c r="R13" s="47"/>
      <c r="S13" s="47"/>
      <c r="T13" s="47"/>
      <c r="U13" s="47"/>
      <c r="V13" s="47"/>
      <c r="W13" s="47"/>
      <c r="X13" s="47"/>
      <c r="Y13" s="47"/>
      <c r="Z13" s="47"/>
    </row>
    <row r="14" spans="1:26" ht="43.5" customHeight="1" x14ac:dyDescent="0.35">
      <c r="A14" s="45">
        <v>9</v>
      </c>
      <c r="B14" s="8" t="s">
        <v>126</v>
      </c>
      <c r="C14" s="8" t="s">
        <v>127</v>
      </c>
      <c r="D14" s="8" t="s">
        <v>128</v>
      </c>
      <c r="E14" s="8" t="s">
        <v>129</v>
      </c>
      <c r="F14" s="25" t="s">
        <v>140</v>
      </c>
      <c r="G14" s="51">
        <v>44395</v>
      </c>
      <c r="H14" s="25">
        <v>9017</v>
      </c>
      <c r="I14" s="25">
        <v>2196</v>
      </c>
      <c r="J14" s="125"/>
      <c r="K14" s="125"/>
      <c r="L14" s="29"/>
      <c r="M14" s="29"/>
      <c r="N14" s="29"/>
      <c r="O14" s="29"/>
      <c r="P14" s="29"/>
      <c r="Q14" s="29"/>
      <c r="R14" s="29"/>
      <c r="S14" s="29"/>
      <c r="T14" s="29"/>
      <c r="U14" s="29"/>
      <c r="V14" s="29"/>
      <c r="W14" s="29"/>
      <c r="X14" s="29"/>
      <c r="Y14" s="29"/>
      <c r="Z14" s="29"/>
    </row>
    <row r="15" spans="1:26" ht="109.5" customHeight="1" x14ac:dyDescent="0.35">
      <c r="A15" s="70">
        <v>10</v>
      </c>
      <c r="B15" s="83" t="s">
        <v>126</v>
      </c>
      <c r="C15" s="83" t="s">
        <v>141</v>
      </c>
      <c r="D15" s="83" t="s">
        <v>142</v>
      </c>
      <c r="E15" s="83" t="s">
        <v>143</v>
      </c>
      <c r="F15" s="82" t="s">
        <v>144</v>
      </c>
      <c r="G15" s="51">
        <v>26510</v>
      </c>
      <c r="H15" s="82">
        <v>5917</v>
      </c>
      <c r="I15" s="45">
        <v>1158433.567</v>
      </c>
      <c r="J15" s="45" t="s">
        <v>145</v>
      </c>
      <c r="K15" s="58" t="s">
        <v>146</v>
      </c>
      <c r="L15" s="2"/>
      <c r="M15" s="2"/>
      <c r="N15" s="2"/>
      <c r="O15" s="2"/>
      <c r="P15" s="2"/>
      <c r="Q15" s="2"/>
      <c r="R15" s="2"/>
      <c r="S15" s="2"/>
      <c r="T15" s="2"/>
      <c r="U15" s="2"/>
      <c r="V15" s="2"/>
      <c r="W15" s="2"/>
      <c r="X15" s="2"/>
      <c r="Y15" s="2"/>
      <c r="Z15" s="2"/>
    </row>
    <row r="16" spans="1:26" ht="35.25" customHeight="1" x14ac:dyDescent="0.65">
      <c r="A16" s="71"/>
      <c r="B16" s="72"/>
      <c r="C16" s="72"/>
      <c r="D16" s="72"/>
      <c r="E16" s="72"/>
      <c r="F16" s="72"/>
      <c r="G16" s="73"/>
      <c r="H16" s="72"/>
      <c r="I16" s="72"/>
      <c r="J16" s="74"/>
      <c r="K16" s="72"/>
      <c r="L16" s="21"/>
      <c r="M16" s="21"/>
      <c r="N16" s="21"/>
      <c r="O16" s="21"/>
      <c r="P16" s="21"/>
      <c r="Q16" s="21"/>
      <c r="R16" s="21"/>
      <c r="S16" s="21"/>
      <c r="T16" s="21"/>
      <c r="U16" s="21"/>
      <c r="V16" s="21"/>
      <c r="W16" s="21"/>
      <c r="X16" s="21"/>
      <c r="Y16" s="21"/>
      <c r="Z16" s="21"/>
    </row>
    <row r="17" spans="1:26" ht="23.5" x14ac:dyDescent="0.55000000000000004">
      <c r="A17" s="75"/>
      <c r="B17" s="76"/>
      <c r="C17" s="76"/>
      <c r="D17" s="76"/>
      <c r="E17" s="76"/>
      <c r="F17" s="76"/>
      <c r="G17" s="77"/>
      <c r="H17" s="76"/>
      <c r="I17" s="76"/>
      <c r="J17" s="78"/>
      <c r="K17" s="76"/>
      <c r="L17" s="21"/>
      <c r="M17" s="21"/>
      <c r="N17" s="21"/>
      <c r="O17" s="21"/>
      <c r="P17" s="21"/>
      <c r="Q17" s="21"/>
      <c r="R17" s="21"/>
      <c r="S17" s="21"/>
      <c r="T17" s="21"/>
      <c r="U17" s="21"/>
      <c r="V17" s="21"/>
      <c r="W17" s="21"/>
      <c r="X17" s="21"/>
      <c r="Y17" s="21"/>
      <c r="Z17" s="21"/>
    </row>
    <row r="18" spans="1:26" ht="23.5" x14ac:dyDescent="0.55000000000000004">
      <c r="A18" s="75"/>
      <c r="B18" s="76"/>
      <c r="C18" s="76"/>
      <c r="D18" s="76"/>
      <c r="E18" s="76"/>
      <c r="F18" s="76"/>
      <c r="G18" s="77"/>
      <c r="H18" s="76"/>
      <c r="I18" s="76"/>
      <c r="J18" s="78"/>
      <c r="K18" s="76"/>
      <c r="L18" s="21"/>
      <c r="M18" s="21"/>
      <c r="N18" s="21"/>
      <c r="O18" s="21"/>
      <c r="P18" s="21"/>
      <c r="Q18" s="21"/>
      <c r="R18" s="21"/>
      <c r="S18" s="21"/>
      <c r="T18" s="21"/>
      <c r="U18" s="21"/>
      <c r="V18" s="21"/>
      <c r="W18" s="21"/>
      <c r="X18" s="21"/>
      <c r="Y18" s="21"/>
      <c r="Z18" s="21"/>
    </row>
    <row r="19" spans="1:26" ht="27.75" customHeight="1" x14ac:dyDescent="0.55000000000000004">
      <c r="A19" s="61"/>
      <c r="B19" s="61"/>
      <c r="C19" s="61"/>
      <c r="D19" s="61"/>
      <c r="E19" s="61"/>
      <c r="F19" s="61"/>
      <c r="G19" s="61"/>
      <c r="H19" s="64"/>
      <c r="I19" s="61" t="s">
        <v>147</v>
      </c>
      <c r="J19" s="61"/>
      <c r="K19" s="61"/>
      <c r="L19" s="2"/>
      <c r="M19" s="2"/>
      <c r="N19" s="2"/>
      <c r="O19" s="2"/>
      <c r="P19" s="2"/>
      <c r="Q19" s="2"/>
      <c r="R19" s="2"/>
      <c r="S19" s="2"/>
      <c r="T19" s="2"/>
      <c r="U19" s="2"/>
      <c r="V19" s="2"/>
      <c r="W19" s="2"/>
      <c r="X19" s="2"/>
      <c r="Y19" s="2"/>
      <c r="Z19" s="2"/>
    </row>
    <row r="20" spans="1:26" ht="23.5" x14ac:dyDescent="0.55000000000000004">
      <c r="A20" s="2"/>
      <c r="B20" s="2"/>
      <c r="C20" s="2"/>
      <c r="D20" s="2"/>
      <c r="E20" s="2"/>
      <c r="F20" s="2"/>
      <c r="G20" s="2"/>
      <c r="H20" s="65"/>
      <c r="I20" s="79" t="s">
        <v>148</v>
      </c>
      <c r="J20" s="80"/>
      <c r="K20" s="2"/>
      <c r="L20" s="2"/>
      <c r="M20" s="2"/>
      <c r="N20" s="2"/>
      <c r="O20" s="2"/>
      <c r="P20" s="2"/>
      <c r="Q20" s="2"/>
      <c r="R20" s="2"/>
      <c r="S20" s="2"/>
      <c r="T20" s="2"/>
      <c r="U20" s="2"/>
      <c r="V20" s="2"/>
      <c r="W20" s="2"/>
      <c r="X20" s="2"/>
      <c r="Y20" s="2"/>
      <c r="Z20" s="2"/>
    </row>
    <row r="21" spans="1:26" ht="15.75" customHeight="1" x14ac:dyDescent="0.55000000000000004">
      <c r="A21" s="2"/>
      <c r="B21" s="2"/>
      <c r="C21" s="2"/>
      <c r="D21" s="2"/>
      <c r="E21" s="2"/>
      <c r="F21" s="2"/>
      <c r="G21" s="2"/>
      <c r="H21" s="66"/>
      <c r="I21" s="79" t="s">
        <v>149</v>
      </c>
      <c r="J21" s="2"/>
      <c r="K21" s="2"/>
      <c r="L21" s="2"/>
      <c r="M21" s="2"/>
      <c r="N21" s="2"/>
      <c r="O21" s="2"/>
      <c r="P21" s="2"/>
      <c r="Q21" s="2"/>
      <c r="R21" s="2"/>
      <c r="S21" s="2"/>
      <c r="T21" s="2"/>
      <c r="U21" s="2"/>
      <c r="V21" s="2"/>
      <c r="W21" s="2"/>
      <c r="X21" s="2"/>
      <c r="Y21" s="2"/>
      <c r="Z21" s="2"/>
    </row>
    <row r="22" spans="1:26" ht="15.75" customHeight="1" x14ac:dyDescent="0.3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7">
    <mergeCell ref="J6:J14"/>
    <mergeCell ref="K6:K14"/>
    <mergeCell ref="A4:A5"/>
    <mergeCell ref="B4:H4"/>
    <mergeCell ref="I4:I5"/>
    <mergeCell ref="J4:J5"/>
    <mergeCell ref="K4:K5"/>
  </mergeCells>
  <pageMargins left="0.25" right="0.25" top="0.75" bottom="0.75"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SUMMARY JV </vt:lpstr>
      <vt:lpstr>SUMMARY JV  2 (TANAH)</vt:lpstr>
      <vt:lpstr>SUMMARY PINJAMAN INDIVIDU</vt:lpstr>
      <vt:lpstr>VERTEX &amp; VCI</vt:lpstr>
      <vt:lpstr>LEGASI SURIA</vt:lpstr>
      <vt:lpstr>NAZIRUL HANI</vt:lpstr>
      <vt:lpstr>EN.WAHID</vt:lpstr>
      <vt:lpstr>JV LAND FOR SALE </vt:lpstr>
      <vt:lpstr>'SUMMARY JV '!Print_Area</vt:lpstr>
      <vt:lpstr>'SUMMARY JV  2 (TANAH)'!Print_Area</vt:lpstr>
      <vt:lpstr>'SUMMARY PINJAMAN INDIVIDU'!Print_Area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Nur Afifa Dayana</cp:lastModifiedBy>
  <cp:revision/>
  <dcterms:created xsi:type="dcterms:W3CDTF">2018-04-19T09:20:25Z</dcterms:created>
  <dcterms:modified xsi:type="dcterms:W3CDTF">2026-07-23T08:25:48Z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2023-09-06T01:39:02Z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387d63ed-e35b-4ad1-b354-8f9d9c5bced0</vt:lpwstr>
  </property>
  <property fmtid="{D5CDD505-2E9C-101B-9397-08002B2CF9AE}" pid="7" name="MSIP_Label_defa4170-0d19-0005-0004-bc88714345d2_ActionId">
    <vt:lpwstr>67728484-7f8c-4c69-b6f5-440faac5a7f9</vt:lpwstr>
  </property>
  <property fmtid="{D5CDD505-2E9C-101B-9397-08002B2CF9AE}" pid="8" name="MSIP_Label_defa4170-0d19-0005-0004-bc88714345d2_ContentBits">
    <vt:lpwstr>0</vt:lpwstr>
  </property>
</Properties>
</file>